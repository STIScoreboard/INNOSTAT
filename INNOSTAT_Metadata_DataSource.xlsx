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V:\EAS_INNOV\results\2025\5.Dissemination\INNOSTAT package ver 15 Apr 2026\"/>
    </mc:Choice>
  </mc:AlternateContent>
  <xr:revisionPtr revIDLastSave="0" documentId="13_ncr:1_{11AEB1A9-4016-4E0F-803D-FF591C8AEB8E}" xr6:coauthVersionLast="47" xr6:coauthVersionMax="47" xr10:uidLastSave="{00000000-0000-0000-0000-000000000000}"/>
  <bookViews>
    <workbookView xWindow="-120" yWindow="-120" windowWidth="29040" windowHeight="15720" activeTab="2" xr2:uid="{53FD16E5-815B-47BC-B09D-BBC15F109EB4}"/>
  </bookViews>
  <sheets>
    <sheet name="2021 round" sheetId="3" r:id="rId1"/>
    <sheet name="2023 round" sheetId="2" r:id="rId2"/>
    <sheet name="2025 round"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3" l="1"/>
  <c r="D44" i="2"/>
</calcChain>
</file>

<file path=xl/sharedStrings.xml><?xml version="1.0" encoding="utf-8"?>
<sst xmlns="http://schemas.openxmlformats.org/spreadsheetml/2006/main" count="1674" uniqueCount="873">
  <si>
    <t>ARG</t>
  </si>
  <si>
    <t>AUS</t>
  </si>
  <si>
    <t>AUT</t>
  </si>
  <si>
    <t>BEL</t>
  </si>
  <si>
    <t>BGR</t>
  </si>
  <si>
    <t>BRA</t>
  </si>
  <si>
    <t>CAN</t>
  </si>
  <si>
    <t>CHE</t>
  </si>
  <si>
    <t>CHL</t>
  </si>
  <si>
    <t>CZE</t>
  </si>
  <si>
    <t>DEU</t>
  </si>
  <si>
    <t>DNK</t>
  </si>
  <si>
    <t>ESP</t>
  </si>
  <si>
    <t>EST</t>
  </si>
  <si>
    <t>FIN</t>
  </si>
  <si>
    <t>FRA</t>
  </si>
  <si>
    <t>GBR</t>
  </si>
  <si>
    <t>GRC</t>
  </si>
  <si>
    <t>HRV</t>
  </si>
  <si>
    <t>HUN</t>
  </si>
  <si>
    <t>IRL</t>
  </si>
  <si>
    <t>ISL</t>
  </si>
  <si>
    <t>ITA</t>
  </si>
  <si>
    <t>JPN</t>
  </si>
  <si>
    <t>KOR</t>
  </si>
  <si>
    <t>LTU</t>
  </si>
  <si>
    <t>LUX</t>
  </si>
  <si>
    <t>LVA</t>
  </si>
  <si>
    <t>NLD</t>
  </si>
  <si>
    <t>POL</t>
  </si>
  <si>
    <t>PRT</t>
  </si>
  <si>
    <t>ROU</t>
  </si>
  <si>
    <t>SVK</t>
  </si>
  <si>
    <t>SVN</t>
  </si>
  <si>
    <t>SWE</t>
  </si>
  <si>
    <t>TUR</t>
  </si>
  <si>
    <t>ZAF</t>
  </si>
  <si>
    <t>Name of survey</t>
  </si>
  <si>
    <t>Encuesta Nacional dinámica del Empleo y la Innovación (ENDEI)</t>
  </si>
  <si>
    <t>Business Characteristics Survey (BCS)</t>
  </si>
  <si>
    <t>Eurostat Community Innovation Survey (CIS)</t>
  </si>
  <si>
    <t>Survey of enterprises’ innovation activity 2020-2022 (Eurostat Community Innovation Survey (CIS 2022))</t>
  </si>
  <si>
    <t>Pesquisa de Inovação Semestral - PINTEC Semestral 2022 (Semi-annual Innovation Survey 2022 )</t>
  </si>
  <si>
    <t xml:space="preserve">Survey of Innovation and Business Strategy </t>
  </si>
  <si>
    <t>KOF Swiss Innovation and Digitalization Survey</t>
  </si>
  <si>
    <t>Chilean Business Innovation Survey</t>
  </si>
  <si>
    <t>Eurostat Community Innovation Survey (CIS) and National Innovation Survey</t>
  </si>
  <si>
    <t>German Innovation Survey (Mannheim Innovation Panel)</t>
  </si>
  <si>
    <t>Innovation Survey</t>
  </si>
  <si>
    <t>UK Innovation Survey</t>
  </si>
  <si>
    <t>Innovation activites in enterprises, 2020 - 2022</t>
  </si>
  <si>
    <t>Report on innovation activities of business enterprises (Hungarian national survey based on the Eurostat Community Innovation Survey)</t>
  </si>
  <si>
    <t xml:space="preserve">Italian Innovation Survey </t>
  </si>
  <si>
    <t>Japanese National Innovation Survey (J-NIS)</t>
  </si>
  <si>
    <t>Korean Innovation Survey (KIS)</t>
  </si>
  <si>
    <t>Community Innovation Survey (CIS)</t>
  </si>
  <si>
    <t>PNT-02 Survey on innovations</t>
  </si>
  <si>
    <t>Portuguese Community Innovation Survey (CIS)</t>
  </si>
  <si>
    <t>Innovation in business enterprises survey</t>
  </si>
  <si>
    <t>Eurostat Community Innovation Survey (CIS) (the national name of the survey is Innovation Activity in Industry and Selected Services (INOV))</t>
  </si>
  <si>
    <t>Innovation Survey, 2022</t>
  </si>
  <si>
    <t>Business Innovation Survey</t>
  </si>
  <si>
    <t>Name of responsible agency</t>
  </si>
  <si>
    <t>Ministerio de Ciencia, Tecnoogía e Innovación</t>
  </si>
  <si>
    <t>Australian Bureau of Statistics</t>
  </si>
  <si>
    <t>Statistics Austria</t>
  </si>
  <si>
    <t>Belgian Science Policy Office</t>
  </si>
  <si>
    <t>National Statistical Institute of Bulgaria</t>
  </si>
  <si>
    <t>Instituto Brasileiro de Geografia e Estatística (IBGE) - Brazilian Institute of Geography and Statistics</t>
  </si>
  <si>
    <t>Statistics Canada</t>
  </si>
  <si>
    <t>KOF Swiss Economic Institute, ETH Zurich (commissioned by State Secretariat for Education, Research and Innovation, SERI)</t>
  </si>
  <si>
    <t>INE Chile, (survey design and estimation carried out by the Ministry of Science)</t>
  </si>
  <si>
    <t>Czech Statistical Office</t>
  </si>
  <si>
    <t>ZEW - Leibniz Centre for European Economic Research, on behalf of the Federal Ministry of Education and Research (BMBF)</t>
  </si>
  <si>
    <t>Statistics Denmark</t>
  </si>
  <si>
    <t>National Statistics Office (INE)</t>
  </si>
  <si>
    <t>Statistical Office of Estonia</t>
  </si>
  <si>
    <t>Statistics Finland</t>
  </si>
  <si>
    <t xml:space="preserve">Insee  </t>
  </si>
  <si>
    <t>Office for National Statistics (ONS) (Survey design, field work and processing and estimation) with boosts sample paid for by the Scottish Government and the Wales Office; Commissioned by the Department for Business, Innovation and Skills</t>
  </si>
  <si>
    <t>National Documentation Centre (EKT)</t>
  </si>
  <si>
    <t>Croatian Bureau of Statistics</t>
  </si>
  <si>
    <t>Hungarian Central Statistical Office</t>
  </si>
  <si>
    <t>Central Statistics Office (CSO)</t>
  </si>
  <si>
    <t>Statistics Iceland</t>
  </si>
  <si>
    <t>ISTAT (Italian National Institute of Statistics)</t>
  </si>
  <si>
    <t>National Institute of Science and Technology Policy (NISTEP); Ministry of Education, Culture, Sports, Science and Technology (MEXT)</t>
  </si>
  <si>
    <t>Science and Technology Policy Institute (STEPI)</t>
  </si>
  <si>
    <t>The State Data Agency (Statistics Lithuania)</t>
  </si>
  <si>
    <t>Institut national de la statistique et des études économiques (STATEC)</t>
  </si>
  <si>
    <t>Central Statistical Bureau of Latvia</t>
  </si>
  <si>
    <t>Statistics Netherlands</t>
  </si>
  <si>
    <t>Statistics Poland</t>
  </si>
  <si>
    <t xml:space="preserve">DGEEC/MECI (Directorate General of Education and Science Statistics / Portuguese Ministry of Education, Science and Innovation) in collaboration with the National Statistics Office (Statistics Portugal) </t>
  </si>
  <si>
    <t>NATIONAL INSTITUTE OF STATISTICS</t>
  </si>
  <si>
    <t>The Statistical Office of the Slovak Republic</t>
  </si>
  <si>
    <t>The Statistical Office of the Republic of Slovenia</t>
  </si>
  <si>
    <t>Statistics Sweden</t>
  </si>
  <si>
    <t>Turkish Statistical Institute, Sectoral Statistics Department / Science and Technology Statistics Group</t>
  </si>
  <si>
    <t>Department of Science, Technology and Innovation (DSTI) and Human Sciences Research Council (HSRC)</t>
  </si>
  <si>
    <t>Reference period</t>
  </si>
  <si>
    <t>2019-2021</t>
  </si>
  <si>
    <t>2022-2023 (financial year)</t>
  </si>
  <si>
    <t>2020-2022</t>
  </si>
  <si>
    <t>2021-2022</t>
  </si>
  <si>
    <t>2020 - 2022</t>
  </si>
  <si>
    <t>2021–2023</t>
  </si>
  <si>
    <t>2019-2021 (KIS 2022 manufacturing); 2020-2022 (KIS 2023 service)</t>
  </si>
  <si>
    <t>Length of reference period</t>
  </si>
  <si>
    <t>2 years (The BCS is an annual survey with innovation items collected every second cycle. From 2020-2021 onwards the reference period for most innovation items is during the two years ended 30 June. Previously the reference period was one year.)</t>
  </si>
  <si>
    <t>3 years</t>
  </si>
  <si>
    <t>1 year</t>
  </si>
  <si>
    <t>2 years</t>
  </si>
  <si>
    <t>3 year period from the beginning of 2020 to the end of 2022</t>
  </si>
  <si>
    <t>Reference year</t>
  </si>
  <si>
    <t>Financial year 2022 (1 July 2022 to 30 June 2023)</t>
  </si>
  <si>
    <t>2021 (KIS 2022 manufacturing); 2022 (KIS 2023 service)</t>
  </si>
  <si>
    <t>Data collection period</t>
  </si>
  <si>
    <t>April 2022 - Feb 2023</t>
  </si>
  <si>
    <t>October 2023 - March 2024</t>
  </si>
  <si>
    <t>January 2023 - June 2023</t>
  </si>
  <si>
    <t>1 August - 31 October 2023</t>
  </si>
  <si>
    <t>May 2023 to June 2024</t>
  </si>
  <si>
    <t>March 2023 to October 2023</t>
  </si>
  <si>
    <t>February 2023 to July 2023</t>
  </si>
  <si>
    <t>During four months of 2023</t>
  </si>
  <si>
    <t>May - August 2023</t>
  </si>
  <si>
    <t>September 2023 to December 2023</t>
  </si>
  <si>
    <t>24 April 2023 - 10 November 2023</t>
  </si>
  <si>
    <t>June 2023 to December 2023 (two collection groups)</t>
  </si>
  <si>
    <t>Sept 2023 - Jan 2024</t>
  </si>
  <si>
    <t>August 2023 to January 2024</t>
  </si>
  <si>
    <t>October 2023 to December 2023</t>
  </si>
  <si>
    <t>October–November 2024</t>
  </si>
  <si>
    <t>July 2022 to September 2022 (KIS 2022 manufacturing) : August 2023 to October 2023 (KIS 2023 service)</t>
  </si>
  <si>
    <t>August 2023 to October 2023</t>
  </si>
  <si>
    <t>15 June 2023 - 01 September 2023</t>
  </si>
  <si>
    <t>April 2023 - March 2024</t>
  </si>
  <si>
    <t>February 2023 to May 2023</t>
  </si>
  <si>
    <t>July 2023 to November 2023</t>
  </si>
  <si>
    <t>May 2023 - July 2023</t>
  </si>
  <si>
    <t xml:space="preserve">May 2023 to September 2023     </t>
  </si>
  <si>
    <t>September 2023 - October 2023</t>
  </si>
  <si>
    <t>March 2023 to August 2023</t>
  </si>
  <si>
    <t>22 May 2023 – 14 July 2023</t>
  </si>
  <si>
    <t>March 2022 - March 2023</t>
  </si>
  <si>
    <t>First release of innovation results</t>
  </si>
  <si>
    <t>July 2024</t>
  </si>
  <si>
    <t>No information</t>
  </si>
  <si>
    <t>June 2024</t>
  </si>
  <si>
    <t>The first release of innovation results from the German Innovation Survey was in 1994 (for CIS 1).</t>
  </si>
  <si>
    <t>April 2024</t>
  </si>
  <si>
    <t>Only one release per survey round (see below)</t>
  </si>
  <si>
    <t>July 2008</t>
  </si>
  <si>
    <t>April 29, 2024</t>
  </si>
  <si>
    <t>November 2024</t>
  </si>
  <si>
    <t>10 December 2004</t>
  </si>
  <si>
    <t>2003 (released as National Approved Statistics)</t>
  </si>
  <si>
    <t>30th October 2023 (news release, data for legal units)</t>
  </si>
  <si>
    <t>29.07.2024 - Press release</t>
  </si>
  <si>
    <t>URL link to documentation (outputs and questionnaire)</t>
  </si>
  <si>
    <t>https://www.argentina.gob.ar/ciencia/indicadorescti/endei-innovacion-en-el-sector-manufacturero</t>
  </si>
  <si>
    <t>Methodology: https://www.abs.gov.au/methodologies/innovation-australian-business-methodology/2022-23
Output: https://www.abs.gov.au/statistics/industry/technology-and-innovation/innovation-australian-business/2022-23</t>
  </si>
  <si>
    <t>https://www.statistik.at/en/statistics/research-innovation-digitalisation/innovation-in-enterprises</t>
  </si>
  <si>
    <t>https://meri.belspo.be/site/innovation_en.stm</t>
  </si>
  <si>
    <t>https://nsi.bg/en/statistical-data/303/874</t>
  </si>
  <si>
    <t>https://pintec.ibge.gov.br/</t>
  </si>
  <si>
    <t>Methodology: https://www23.statcan.gc.ca/imdb/p2SV.pl?Function=getSurvey&amp;Id=1499788
Output: https://www150.statcan.gc.ca/n1/daily-quotidien/240731/dq240731b-eng.htm</t>
  </si>
  <si>
    <t>https://innovationserhebung.ch/</t>
  </si>
  <si>
    <t>https://observa.minciencia.gob.cl/encuesta/encuesta-nacional-de-innovacion</t>
  </si>
  <si>
    <t>Only in Czech: https://csu.gov.cz/produkty/inovacni-aktivity-podniku-20202022</t>
  </si>
  <si>
    <t>https://www.zew.de/en/publications/zew-expertises-research-reports/research-reports/innovations/mannheim-innovation-panel-the-annual-german-innovation-survey</t>
  </si>
  <si>
    <t>https://www.statbank.dk/10149</t>
  </si>
  <si>
    <t>https://www.ine.es/dyngs/INEbase/en/operacion.htm?c=Estadistica_C&amp;cid=1254736176755&amp;menu=metodologia&amp;idp=1254735576669</t>
  </si>
  <si>
    <t>Questionnaire: https://www.stat.ee/en/questionnaires/community-innovation-survey-2022-year
Metadata: https://stat.ee/en/find-statistics/methodology-and-quality/esms-metadata/21702</t>
  </si>
  <si>
    <t>https://stat.fi/en/statistics/inn</t>
  </si>
  <si>
    <t>https://www.gov.uk/government/collections/uk-innovation-survey</t>
  </si>
  <si>
    <t>Documentation is currently available online only in Greek: https://metrics.ekt.gr/sites/metrics-ekt/files/datatables-excel/2024/SIMS_%20CISstatistics_el_2022-2.pdf</t>
  </si>
  <si>
    <t xml:space="preserve">https://podaci.dzs.hr/2024/en/77277 </t>
  </si>
  <si>
    <t>https://www.ksh.hu/stadat_eng</t>
  </si>
  <si>
    <t>https://www.cso.ie/en/methods/technologyandinnovation/innovationinirishenterprisesformerlyknownascommunityinnovationsurvey/</t>
  </si>
  <si>
    <t>https://hagstofa.is/talnaefni/atvinnuvegir/visindi-og-taekni/Nyjungar-i-starfsemi-fyrirtaekja/
https://statice.is/publications/news-archive/science-and-technology/community-innovation-2020-2022/</t>
  </si>
  <si>
    <t>Technical documentation (English): https://www.nistep.go.jp/en/?page_id=4045
Outputs (Japanese): https://www.e-stat.go.jp/stat-search/files?page=1&amp;toukei=00400503&amp;tstat=000001039433</t>
  </si>
  <si>
    <t xml:space="preserve">https://www.stepi.re.kr/kis/ </t>
  </si>
  <si>
    <t>- Methodological documents are published in the Official Statistics Portal section Innovation activities: https://osp.stat.gov.lt/inovacine-veikla
- Statistical indicators are published in the Database of Indicators (Science and technology &gt; Innovation activities): https://osp.stat.gov.lt/statistiniu-rodikliu-analize#/
- For the collection of statistical data a statistical report form has been prepared - the statistical report on innovation activities INV-01 (every 2 years). The statistical report of the survey is prepared every 2 years according to a standard questionnaire prepared by Eurostat. The statistical report form is published at the following address: https://estatistika.stat.gov.lt/pradzia.html (only in Lithuanian).</t>
  </si>
  <si>
    <t>https://statistiques.public.lu/en/enquetes/enquetes-entreprises/innovation-structurelles-entreprises.html</t>
  </si>
  <si>
    <t>[Database] https://data.stat.gov.lv/pxweb/en/OSP_PUB/START__ENT__IU/</t>
  </si>
  <si>
    <t>https://www.cbs.nl/en-gb/figures/detail/80066eng?q=innovation</t>
  </si>
  <si>
    <t>Questionnaire (in Polish): https://form.stat.gov.pl/formularze/2023/passive/PNT-02.pdf
Main publication: https://stat.gov.pl/en/topics/science-and-technology/science-and-technology/innovation-activities-of-enterprises-in-the-years-2020-2022,3,8.html
Databases:
https://dbw.stat.gov.pl/en/baza-danych
https://bdl.stat.gov.pl/bdl/start
https://strateg.stat.gov.pl/?lang=en-GB#/</t>
  </si>
  <si>
    <t>https://www.dgeec.medu.pt/l/UMp4M
https://smi.ine.pt/SuporteRecolha/Detalhes/10543</t>
  </si>
  <si>
    <t>https://insse.ro/cms/sites/default/files/field/publicatii/inovarea_in_intreprinderile_din_mediul_de_afaceri_2022.pdf
http://statistici.insse.ro:8077/tempo-online/#/pages/tables/insse-table
On NIS website, the latest questionnaire for CIS survey 2022-2024 is available
https://insse.ro/cms/files/chestionare/statistica%20cercetarii%20dezvoltarii%20si%20inovarii/2025/CHESTIONAR_INOV_2024.doc</t>
  </si>
  <si>
    <t>https://datacube.statistics.sk/#!/lang/en
https://zber.statistics.sk/en/search</t>
  </si>
  <si>
    <t>First release article is published at https://www.stat.si/StatWeb/en/News/Index/12805.
Methodological materials on Statistical Office of the Republic of Slovenia website are available at https://www.stat.si/statweb/en/Methods/QuestionnairesMethodologicalExplanationsQualityReports.
· Questionnaire (only in Slovene):
  o Inovacijska dejavnost v industriji in izbranih storitvenih dejavnostih (INOV)
    Theme: Development and Technology, Subtheme: Research, Development and Innovation
    https://www.stat.si/statweb/File/DocSysFile/12399/INOV_2020-2022.pdf
· Quality report for the survey:
  o Innovation activity in industry and selected services (INOV)
    Theme: Development and Technology, SubTheme: Research, Development and Innovation
    https://www.stat.si/statweb/File/DocSysFile/12011/QR_INOV_2020.pdf
· Methodological explanations:
  o Innovation activity in industry and selected services
    Theme: Development and Technology, Subtheme: Research, Development and Innovation
    https://www.stat.si/statweb/File/DocSysFile/7993/23-059-ME.pdf</t>
  </si>
  <si>
    <t>https://www.scb.se/en/finding-statistics/statistics-by-subject-area/research-and-the-digital-society/innovation/community-innovation-survey/</t>
  </si>
  <si>
    <t>https://data.tuik.gov.tr/Kategori/GetKategori?p=bilgi-teknolojileri-ve-bilgi-toplumu-102&amp;dil=1
Bulletin: https://data.tuik.gov.tr/Bulten/Index?p=Innovation-Survey-2022-49743</t>
  </si>
  <si>
    <t>https://hsrc.ac.za/about-cestii/measuring-innovation-capacity/business-innovation-survey/</t>
  </si>
  <si>
    <t>Concepts, notes and definitions in the questionnaire (differences from the requested, e.g. deviations from ISIC rev 4)</t>
  </si>
  <si>
    <t>Reference years differ from requested.</t>
  </si>
  <si>
    <t>Target population is firms with 100 or more employees and industry coverage is limited to mining and manufacturing</t>
  </si>
  <si>
    <t>North American Industry Classification System (NAICS) Canda 2017 is used for industry classification.</t>
  </si>
  <si>
    <t>Every question has a description below. More detailed definitions and examples can be found in the annex attached at the end of the questionnaire.</t>
  </si>
  <si>
    <t>- Business characteristics and turnover were not measured directly, and instead figures quoted are taken from a business register.
- The number of businesses using innovation protection methods refer to number of businesses where over 90% of their innovations were protected by the indicated method.</t>
  </si>
  <si>
    <t>All relevant concepts, notes and definitions, as well as instructions for the completion of the questionnaire, are included in the questionnaire, within the questions, in the form of explanatory text, pop-ups (for the online version), footnotes and/or hyperlinks, following the structure of the CIS 2022 harmonized survey questionnaire</t>
  </si>
  <si>
    <t>No deviation in concepts.</t>
  </si>
  <si>
    <t>Concepts and definitions are the same as ones of the requested.  Length of reference period is the same, but the reference period is different.  As for the industrial classification, JSIC Rev.14 is used in place of ISIC Rev.4, but the classification categories in JSIC Rev.14 are set to correspond as closely as possible to those in ISIC Rev.4.</t>
  </si>
  <si>
    <t>Total (All firms) was computed by the sum of the KIS 2022 (manufacturing) and KIS 2023 (service).
The industry coverage excludes KSIC (Rev.10) C12 (Manufacture of tobacco products) and H53.
In the case of services, the analysis covers G46, H, J, K, and M71–72–73.</t>
  </si>
  <si>
    <t>Included within or immediately following the questions.</t>
  </si>
  <si>
    <t>Detailed information available on Eurostat national reference metadata page :
https://ec.europa.eu/eurostat/cache/metadata/EN/inn_cis13_simsci_lu.htm</t>
  </si>
  <si>
    <t>Included within or immediately following the questions</t>
  </si>
  <si>
    <t>All innovation data in Polish sources are presented for legal unit and thefore they may differ from data released in international sources.</t>
  </si>
  <si>
    <t>No differences</t>
  </si>
  <si>
    <t>Some questions, such as tax incentives and share of tertiary educated employees, are not included in the national questionnaire.</t>
  </si>
  <si>
    <t>The size-classes for the South African BIS are based on turnover instead of the Oslo Manual-recommended employment. This is due to gaps in the employment numbers in the Stats SA national business register.</t>
  </si>
  <si>
    <t>Release date</t>
  </si>
  <si>
    <t>July 2023</t>
  </si>
  <si>
    <t>June 2023</t>
  </si>
  <si>
    <t>28 June 2024</t>
  </si>
  <si>
    <t>20 March 2024 (In March 2025 we released Pintec Semestral 2023)</t>
  </si>
  <si>
    <t>February 2024</t>
  </si>
  <si>
    <t>January 2025</t>
  </si>
  <si>
    <t>February 2025</t>
  </si>
  <si>
    <t>6 June 2024</t>
  </si>
  <si>
    <t>January 2024</t>
  </si>
  <si>
    <t>December 2023</t>
  </si>
  <si>
    <t>19 December 2023</t>
  </si>
  <si>
    <t>20 May 2024</t>
  </si>
  <si>
    <t>May 2024</t>
  </si>
  <si>
    <t>One month after the final transmission to Eurostat</t>
  </si>
  <si>
    <t>26 July 2024</t>
  </si>
  <si>
    <t>17 September 2025</t>
  </si>
  <si>
    <t>March 2024 (KIS 2022 manufacturing); March 2025 (KIS 2023 service)</t>
  </si>
  <si>
    <t>20 December 2023 (A news release was published with provisional statistical information of the main indicators)</t>
  </si>
  <si>
    <t>15 July 2024</t>
  </si>
  <si>
    <t>30 October 2023 (in legal units)</t>
  </si>
  <si>
    <t xml:space="preserve">April 2024 (Release schedule calendar: https://estatistica.dgeec.mec.pt/cdeo.php and https://www.ine.pt/xportal/xmain?xpid=INE&amp;xpgid=ine_dispinfest)
</t>
  </si>
  <si>
    <t>First release on 22 April 2024 and detailed final data release on 24 September 2024</t>
  </si>
  <si>
    <t>9 Novebmer 2023</t>
  </si>
  <si>
    <t>12 December 2023</t>
  </si>
  <si>
    <t>Next survey release: date</t>
  </si>
  <si>
    <t>March 2026</t>
  </si>
  <si>
    <t>July 2026</t>
  </si>
  <si>
    <t>June 2025</t>
  </si>
  <si>
    <t>30 June 2026</t>
  </si>
  <si>
    <t>26 March 2026</t>
  </si>
  <si>
    <t>January 2027</t>
  </si>
  <si>
    <t>6 June 2026</t>
  </si>
  <si>
    <t>January 2026</t>
  </si>
  <si>
    <t>18 December 2025</t>
  </si>
  <si>
    <t>May 2026</t>
  </si>
  <si>
    <t>Q4 2026</t>
  </si>
  <si>
    <t>Spring 2026</t>
  </si>
  <si>
    <t>October 2026 (TBD)</t>
  </si>
  <si>
    <t>March 2026 (KIS 2024 manufacturing); March 2027 (KIS 2025 service)</t>
  </si>
  <si>
    <t>December 2025</t>
  </si>
  <si>
    <t>November - December 2026</t>
  </si>
  <si>
    <t>15 July 2026</t>
  </si>
  <si>
    <t>July 2025</t>
  </si>
  <si>
    <t>April 2026</t>
  </si>
  <si>
    <t>13 November 2025</t>
  </si>
  <si>
    <t>10 December 2025</t>
  </si>
  <si>
    <t>Next survey release: reference period</t>
  </si>
  <si>
    <t>2023-2025</t>
  </si>
  <si>
    <t>2022-2024</t>
  </si>
  <si>
    <t>2025-2026</t>
  </si>
  <si>
    <t>2023–2025 (TBD)</t>
  </si>
  <si>
    <t>2021-2023 (KIS 2024 manufacturing); 2022-2024 (KIS 2025 service)</t>
  </si>
  <si>
    <t>Differences with the Oslo Manual</t>
  </si>
  <si>
    <t>The national questionnaire is identical to CIS Harmonised Data Collection (HDC) developed by Eurostat.</t>
  </si>
  <si>
    <t>The size classes for the South African BIS are based on turnover instead of number of employment as recommended in the Oslo Manual. This is due to gaps in the employment numbers in the Stats SA national business register.</t>
  </si>
  <si>
    <t>Difference with the CIS questionnaire (if applicable)</t>
  </si>
  <si>
    <t>The CIS model questionnaire is used as a starting point for innovation content on the BCS. Content is also determined by user demand and form testing to see which questions can be answered accurately. The sectoral and size coverage of enterprises matches the CIS scope.</t>
  </si>
  <si>
    <t>The national survey did not include information on innovation cooperation by detailed type of partner, types of markets that the enterprise operates, and share of employees with university education.</t>
  </si>
  <si>
    <t>Question on the share of employees with university education is not included.</t>
  </si>
  <si>
    <t xml:space="preserve">All obligatory and some voluntary CIS questions are included in the national questionnaire. The voluntary CIS questions 2.1; 2.2; 2.4; 3.8 optional variables; 3.12 optional variables; 4.3; 5.3; 5.4; 6.2; 7.2; 7.6; 7.8 and 7.9 are not included in the national questionnaire. Information on average number of persons employed, total turnover in 2020 and 2022, year of establishment, enterprise group, address, postal code and main activity of the enterprise is extracted from other sources (Business Register and SBS survey). Additional questions are not included. </t>
  </si>
  <si>
    <t>Some differences in cooperation and public financial support</t>
  </si>
  <si>
    <t>The Swiss Innovation Survey follows the core innovation questions of the CIS. However, some non-mandatory parts of the CIS questionnaire are omitted and some other, additional questions are asked.</t>
  </si>
  <si>
    <t>Questions, sequencing, type of categories, form of questions</t>
  </si>
  <si>
    <t>Selected questions are adopted.</t>
  </si>
  <si>
    <t>- The item "protection of biodiversity" was not included in the questions on innovations with environmental benefits.
- The question on enterprises receiving tax relief for R&amp;D or other innovation activities include all enterprises that applied for such a tax relief, irrespective of whether they will receive a tax relief or not. The reason is that the tax relief for R&amp;D has only recently been introduced in Germany, and by the end of 2022, almost no enterprise that applied for the tax relief had received a decision from the tax authorities. For a realistic picture of the number of enterprises that are likely to receive such tax relief, the question was altered to include all enterprises that applied for the tax relief. Information from the responsible auhtorities suggest that about 80% of all enterprises that applied for the tax relief will be granted a tax relief.
- The German CIS 2022 did not include the question on intellectual property rights, for which reason we cannot provide data on these variables.</t>
  </si>
  <si>
    <t>Adopted almost in total (includes all CIS compulsory variables).</t>
  </si>
  <si>
    <t>Most of the CIS questions are included. Questions about the enterprise’s economic information are included in the first page of the questionnaire.</t>
  </si>
  <si>
    <t>Practically identical. CIS Question 3.1 "Introduction of innovative goods or services" was split into two parts: one question on new goods or services and another on improved goods or services.</t>
  </si>
  <si>
    <t>Mandatory EU CIS HDC (harmonised data collection) and some voluntary questions adopted. 
Few national questions on topical issues were also covered (collaboration between enterprises and research organisations, and skills and competence areas required by and needed by enterprises).</t>
  </si>
  <si>
    <t>Mainly adopted the CIS common questionnaire as a model. Some Eurostat optional questions were removed, and some questions were added.</t>
  </si>
  <si>
    <t>All mandatory questions in CIS common questionnaire are applied.</t>
  </si>
  <si>
    <t>The quantitative data in Q3.8 (innovation expenditures, except for R&amp;D expenditures (i.e. expenditures for R&amp;D performed in-house and R&amp;D contracted out to others)) and the data on the items for "Protection of bio-diversity” in Q6.1 are not collected.</t>
  </si>
  <si>
    <t>All CIS ‘obligatory’ and ‘very important’ questions are included. But a few questions are modified (merged) or added based on the Korean context.</t>
  </si>
  <si>
    <t xml:space="preserve">Not all voluntary questions are included. </t>
  </si>
  <si>
    <t>Only mandatory questions are included. In question 6.1 on environmental innovations, no distinction was made between ‘yes, significant’ and ‘yes, but insignificant’. Both answers are included as ‘yes, significant’.</t>
  </si>
  <si>
    <t>Additional questions for national needs</t>
  </si>
  <si>
    <t>There is no difference with the CIS questionnaire, but there is one additional question at the national level: E3. Of the expenditure indicated in B8, estimate the overall amount spent (in euros) by the enterprise on innovation with environmental benefits (cf. definition in question E1) from: product innovations, process innovations, and other innovations and R&amp;D activities.</t>
  </si>
  <si>
    <t>All questions from the Harmonised Questionnaire except questions 5.3, 5.4, 7.6, 7.8 and 7.9 were included in national questionnaire.</t>
  </si>
  <si>
    <t>All mandatory questions in CIS common questionnaire are applied to national questionnaire.</t>
  </si>
  <si>
    <t>Target population cut-off point</t>
  </si>
  <si>
    <t>More than 10 employees</t>
  </si>
  <si>
    <t>The scope of the estimates in this publication consists of all employing business entities in the Australian economy, except for:
• SISCA 3000 General government
• SISCA 6000 Rest of the world
• ANZSIC06 Division O Public administration and safety
• ANZSIC06 Division P Education and training
• ANZSIC06 Groups 624 (Financial asset investing) and 633 (Superannuation funds)
• ANZSIC06 Groups 954 (Religious services) and 955 (Civic, professional and other interest group services)
• ANZSIC06 Subdivision 96 Private households employing staff and Undifferentiated Goods-and Service-Producing Activities of Households for Own Use")
For the purpose of the OECD data collection, enterprises with less than 10 employees are excluded from the reported data.</t>
  </si>
  <si>
    <t>10 or more persons employed</t>
  </si>
  <si>
    <t>10 or more employees (employees and self-employed persons)</t>
  </si>
  <si>
    <t>Firms with 100 or more employees</t>
  </si>
  <si>
    <t>20 or more employees with revenues of at least CAD 250,000</t>
  </si>
  <si>
    <t>5 or more employees</t>
  </si>
  <si>
    <t>Covers enterprises above 2.400 UF (Unidades de Fomento for its name in Spanish) annual sales (equivalent to CLP 29,070.33 of the year 2020).</t>
  </si>
  <si>
    <t>For national statistics: 5 or more employees. For Eurostat and OECD statistics: 10 or more employees.</t>
  </si>
  <si>
    <t>10 or more employees</t>
  </si>
  <si>
    <t xml:space="preserve">Cut off point: enterprises with 10 or more employees </t>
  </si>
  <si>
    <t xml:space="preserve">10 or more persons employed </t>
  </si>
  <si>
    <t>Enterprise units with 10 or more persons employed.</t>
  </si>
  <si>
    <t>In accordance with Commission Implementing Regulation (EU) 2022/1092 on innovation statistics, only the enterprises with 10 or more employed persons (sum of employees and self-employed persons) are included in the core target population. No national particularities.</t>
  </si>
  <si>
    <t>10 or more employees
Enterprises with at least 10 persons employed, registered on the territory of the Republic of Slovenia in one of the activities of the Standard Classification of Activities SKD 2008 (i.e. NACE Rev. 2) from various sections of activities are selected:
·     Mining and quarrying (B: 05–09)
·     Manufacturing (C: 10–33)
·     Electricity, gas steam and air conditioning supply (D: 35)
·     Water supply; sewerage, waste management and remediation activities (E: 36–39)
·     Wholesale trade, except of motor vehicles and motorcycles (G: 46)
·     Transportation and storage (H: 49–53)
·     Information and communication (J: 58–63)
·     Financial and insurance activities (K: 64–66)
·     Architectural and engineering activities; technical testing and analysis (M: 71)
·     Scientific research and development (M: 72)
·     Advertising and market research (M: 73)</t>
  </si>
  <si>
    <t xml:space="preserve">No sampling from enterprises that contribute to the bottom 0.5% of the total turnover of the industry. All size group 1 enterprises were completely enumerated </t>
  </si>
  <si>
    <t>Industry coverage</t>
  </si>
  <si>
    <t>ISIC Rev 4 in 2 digits, manufacturing only.</t>
  </si>
  <si>
    <t>Australian and New Zealand Standard Industrial Classification (ANZSIC) (Data was collected for BCS based on Australian and New Zealand Standard Industrial Classification (ANZSIC) Rev. 2, but data has been converted to ISIC.)</t>
  </si>
  <si>
    <t>Core coverage: enterprises in the ISIC Rev. 4/NACE Rev.2 sections/divisions B, C, D, E, G46, H, J, K, M71-72-73.</t>
  </si>
  <si>
    <t>Core coverage: enterprises in the ISIC Rev. 4 sections B, C, D, E, G46, H, J, K, M71-72-73 (NACE equivalent is B, C, D, E, H, J, K, and Divisions 46, 71, 72 and 73)</t>
  </si>
  <si>
    <t>ISIC Rev. 4/NACE Rev. 2. 
Core coverage: enterprises in the ISIC Rev. 4/NACE Rev.2 sections/divisions B, C, D, E, G46, H, J, K, M71-72-73.</t>
  </si>
  <si>
    <t>Mining and manufacturing</t>
  </si>
  <si>
    <t>The industries surveyed are different from the CIS core coverage and include the following 2017 NAICS divisions: 11, 21, 22, 23, 31, 32, 33, 41, 44, 45, 48, 49, 51, 52, 53, 54, 55 and 56.</t>
  </si>
  <si>
    <t>The sectoral coverage includes all ISIC Rev. 4 sections except P. Q and S.</t>
  </si>
  <si>
    <t>Core coverage: enterprises in the ISIC Rev. 4/NACE Rev.2 sections/divisions B, C, D, E, G46, H, J, K, M71-72-73. 
National survey coverage: core coverage and M69, M70.2, M74, N78 to N82</t>
  </si>
  <si>
    <t>Core coverage: enterprises in the ISIC Rev. 4/NACE Rev.2 sections/divisions B, C, D, E, G46, H, J, K, 
M71-72-73.</t>
  </si>
  <si>
    <t>Core coverage: enterprises in the ISIC Rev. 4/NACE Rev.2 sections/divisions B, C, D, E, G46, H, J, K, M71-72-73.
Businesses established in France (including mainland and overseas departments, as well as Mayotte), active as of 31/12/2022, with at least six months of activity, commercial in nature, and employing 10 or more employees (in full-time equivalents). The companies belong to divisions 05 to 81 of the statistical classification of economic activities in the European Community (NACE Rev. 2), with the exception of 75 (veterinary activities). Within NACE Rev. 2 section K (divisions 64, 65, and 66), classes 5195 and 6595 are excluded (local bank agencies).</t>
  </si>
  <si>
    <t>In accordance with the Commission Implementing Regulation (EU) 2022/1092 on innovation statistics, the following sectors of the economic activity are included in the core target population: NACE Sections B, C, D, E, H, J, K, and Divisions 46, 71, 72 and 73.</t>
  </si>
  <si>
    <t>NACE Rev.2 B-C-D-E-46-H-J-K-71-72-73 (core), 41-43, 55-56, 68 (additional)</t>
  </si>
  <si>
    <t>Core coverage: enterprises in the ISIC Rev. 4/NACE Rev.2 sections/divisions B, C, D, E, G46, H, J, K, M71-72-73</t>
  </si>
  <si>
    <t>Core coverage: Enterprises in the JSIC Rev.14 divisions/major groups/groups C, E, R901, F, R88, I50–I53, I540–I541, I543–I549, I55, H, Q86, G, N801, J, L71, and L73–L74, which correspond to the ISIC Rev.4/NACE Rev.2 sections/divisions B, C, D, E, G46, H, J, K, M71–M73.
* At the industrial level, there are some gaps in the following correspondences between the JSIC Rev.14 and the ISIC Rev.4/NACE Rev.2: E27–E28 and E30 to C26; E25–E26 to C28; E13, E32 and R90 to C31–C33; F36 to E36; R88 to E37–E39, and I50–I55 to G46.
Non-core coverage: Enterprises in the JSIC Rev.14 divisions/major groups/groups A, B, D, I542, R89, I56–I61, M, K, L72, R91–R92, and N791, R900, R902–R909, and R91–R92, which correspond to the ISIC Rev.4/NACE Rev.2 sections/divisions A, F, G45, G47, I, L, N77, M69–M70, M74, N78, N80–N82, N79, and S95.</t>
  </si>
  <si>
    <t>KSIC Rev.10 (based on ISIC Rev.4) Section/Division
Manufacturing: C10-C33 (except C12)
Service: G45-G47, H49-H52, I55-I56, J58-J63, K64-K66, L68 ,M70-M73, N74-N76, P85, Q86-Q87, R90-R91, S94-S96</t>
  </si>
  <si>
    <t>PKD 2007 (Polish Classification of Activities coherent with NACE Rev. 2) Sections/Divisions B, C, D, E, G46, H, J, K, M71-72-73</t>
  </si>
  <si>
    <t>Classification: ISIC Rev. 4/NACE Rev. 2. 
Core coverage: enterprises in the ISIC Rev. 4/NACE Rev.2 sections/divisions B, C, D, E, G46, H, J, K, M71-72-73.</t>
  </si>
  <si>
    <t>In accordance with the Commission Implementing Regulation (EU) 2022/1092 on innovation statistics, the following sectors of the economic activity are included in the core target population: NACE Sections B, C, D, E, H, J, K, and Divisions 46, 71, 72 and 73. No, national particularities; the core NACE activities only.</t>
  </si>
  <si>
    <t>Core coverage: enterprises in the ISIC Rev. 4/NACE Rev.2 sections/divisions B, C, D, E, G46, H, J, K, M71-72-73.
Non-core coverage: F</t>
  </si>
  <si>
    <t>Core coverage: enterprises in the ISIC Rev. 4/NACE Rev.2 sections/divisions  B, C, D, E, H, J, K, and Divisions G46, M71, M72 or M73.
Additional coverage: F, P, Q86</t>
  </si>
  <si>
    <t>Industry covered the sectors based on Standard Industrial Classification (SIC) of South Africa: mining and quarrying, manufacturing, and electricity, gas and water supply. The services sectors covered: wholesale and retail trade, transport, storage and communication, financial intermediation, computer and related activities, R&amp;D, architectural and engineering activities, and technical testing and analysis.</t>
  </si>
  <si>
    <t>Sampling frame used</t>
  </si>
  <si>
    <t>National statistical business register</t>
  </si>
  <si>
    <t>Register available from the Belgian National Social Security Office which contains all active employers in Belgium</t>
  </si>
  <si>
    <t>1532 firms to represent a population of 9584 firms</t>
  </si>
  <si>
    <t>Business Register (BR) (The BR is a data service centre updated through a number of sources including administrative data files, feedback received from conducting Statistics Canada business surveys and profiling activities including direct contact with companies to obtain information about their operations and Internet research findings.)</t>
  </si>
  <si>
    <t>National business register from the Federal Statistical Office</t>
  </si>
  <si>
    <t>Enterprises sample frame owned by INE Chile and created from tax and others survey data</t>
  </si>
  <si>
    <t>Business register for determining the size of the target population by stratum; commercial sources (Creditreform data base, containing about the same number of enterprises as the business register) for drawing the sample.</t>
  </si>
  <si>
    <t>National statistical business register (reference year 2020) maintained by the Hellenic Statistical Authority</t>
  </si>
  <si>
    <t>Statistical Business Register</t>
  </si>
  <si>
    <t>The national Statistical Business Register of enterprises</t>
  </si>
  <si>
    <t>Business Register of Statistics Iceland</t>
  </si>
  <si>
    <t>Statistical Business Register (SBR) by the Ministry of Data and Statistics (MODS, formerly KOSTAT)</t>
  </si>
  <si>
    <t>National business register</t>
  </si>
  <si>
    <t>National business register.</t>
  </si>
  <si>
    <t>The national business register, named REGIS was used.</t>
  </si>
  <si>
    <t>National statistical business register.</t>
  </si>
  <si>
    <t>TurkStat Business registers system</t>
  </si>
  <si>
    <t>The sample frame had 30 Standard Industrial Classification (SIC) codes, representing industry and services subsectors within six main sectors, and four size classes per subsector, which gave a total of 30 x 4 = 120 strata.</t>
  </si>
  <si>
    <t>Completion requirement</t>
  </si>
  <si>
    <t>Compulsory</t>
  </si>
  <si>
    <t>Compulsory, with enforceable penalties</t>
  </si>
  <si>
    <t>Voluntary</t>
  </si>
  <si>
    <t>At least 70% response rate</t>
  </si>
  <si>
    <t>Mandatory</t>
  </si>
  <si>
    <t>Obligatory</t>
  </si>
  <si>
    <t>Compulsory, but not enforceable in practice</t>
  </si>
  <si>
    <t>Compulsory. The obligation of respondents to send the requested data arises from Act No. 540/2001 Coll. on State Statistics.</t>
  </si>
  <si>
    <t>Not mandatory</t>
  </si>
  <si>
    <t>Unit of analysis surveyed</t>
  </si>
  <si>
    <t>Enterprise</t>
  </si>
  <si>
    <t>Businesses with a simple structure: Most businesses and organisations in Australia need to obtain an Australian Business Number (ABN). They are then included on the whole-of-government register of businesses, the Australian Business Register (ABR), which is maintained by the Australian Taxation Office (ATO). Most of these businesses have simple structures; therefore, the unit registered for an ABN will satisfy ABS statistical requirements. For these businesses, the ABS has aligned its statistical units structure with the ABN unit. The businesses with simple structures constitute the ATO maintained population (ATOMP), and the ABN unit is used as the statistical unit for all ABS economic collections. 
Businesses with a complex structure: For the population of businesses where the ABN unit is not suitable for ABS statistical requirements, the ABS maintains its own units structure through direct contact with the business. These businesses constitute the ABS maintained population (ABSMP). This population consists typically of large, complex and diverse businesses. For businesses in the ABSMP, statistical units comprise the Enterprise Group, the Enterprise and the Type of Activity Unit (TAU). The range of activities across the Enterprise Group can be very diverse. The TAU represents a grouping of one or more business entities within the Enterprise that cover all of the operations within an industry subdivision and for which a basic set of financial production and employment data can be reported.</t>
  </si>
  <si>
    <t>Firms</t>
  </si>
  <si>
    <t xml:space="preserve">Enterprise </t>
  </si>
  <si>
    <t xml:space="preserve">Enterprise  </t>
  </si>
  <si>
    <t>Enterprise as legal unit</t>
  </si>
  <si>
    <t>Businesses</t>
  </si>
  <si>
    <t>Statistical unit: Enterprise (reporting unit: legal unit)</t>
  </si>
  <si>
    <t>Enterprise which has the legal status of kabusiki-kaisha (stock company) (including former yūgen-kaisha (limited liability company)), gōmei-kaisha (general partnership company), gōshi-kaisha (limited (liability) partnership company), gōdō-kaisha (limited liability company), or sōgo-kaisha (mutual company).</t>
  </si>
  <si>
    <t>Legal unit, while data for Eurostat and OECD were then processed and transmitted for the statistical unit enterprise.</t>
  </si>
  <si>
    <t>Enterprises</t>
  </si>
  <si>
    <t>Enterprise (as defined by Statistics South Africa)</t>
  </si>
  <si>
    <t>Survey type</t>
  </si>
  <si>
    <t>Online survey (Unique structured and self-administered online questionnaire, with folllow up by telephone and emails)</t>
  </si>
  <si>
    <t>Sample survey</t>
  </si>
  <si>
    <t>Combined (census for enterprises with 250+ employed persons and sample survey for small and medium enterprises)</t>
  </si>
  <si>
    <t>Combined (usually medium-size (50-249 employees) and large (250 or more employees) enterprises are completely enumerated, while smaller enterprises are randomly sampled using a stratified design)</t>
  </si>
  <si>
    <t>Census</t>
  </si>
  <si>
    <t>Combined (census for enterprises with at least 250 employees; and sample survey of small and medium enterprises; to expect the production of estimates with an expected standard error no greater than 10% for percent estimates at the national level)</t>
  </si>
  <si>
    <t>Combined (For mining and quarrying, and Electricity is Census, (these enterprises are included directly in the sample). The other sectors are sampled.)</t>
  </si>
  <si>
    <t>Combined (census for enterprises with 250+ employees according to the Business Register &gt;=250 of for all core NACE and for enterprises with 50-249 employees of NACE 5-9, 12, 19, 37, 39, 50-51, 53, 59-60; sample survey for enterprises with 50-249 employees of NACE=10-11, 13-18, 20-36 , 38, 46, 49, 52, 58, 61-66, 71-73 and for enterprises with 10-49 employees in all NACE)</t>
  </si>
  <si>
    <t>Combined (larger enterprises with 500+ employees are enumerated, while smaller enterprises are sampled)</t>
  </si>
  <si>
    <t>Combined (census for the enterprises in the census are characterized by at least one of the following criterias: Reported R&amp;D expenditures of at least DKK 5 million in at least one of the two past years; Reported innovation expenditures of at least DKK 5 the past year; Has 100 or more employees; is in the R&amp;D service industry; or is in the Advanced Technology Group (GTS), ad rest as sampled survey)</t>
  </si>
  <si>
    <t>Combined (larger enterprises with 200+ employees are enumerated, while smaller enterprises are sampled)</t>
  </si>
  <si>
    <t>Combined (census for enterprises with 50+ employees, sample survey for others)</t>
  </si>
  <si>
    <t>Combined (large enterprises with 250+ employees are enumerated, small enterprises are sampled)</t>
  </si>
  <si>
    <t>Combined (The sample is a stratified design drawn from the Inter-Departmental Business Register (IDBR) with Neyman allocation used to determine the sample size in each stratum. Overall, roughly 15 per cent of the target population in sampled. A census for all large firms (250+ employees) is taken and a census of SMEs in SIC 72, one of the key policy areas is taken.</t>
  </si>
  <si>
    <t>Combined (census for enterprises over 250 persons employed and R&amp;D 2022 performers; sampling from the Statistical Business Register for enterprises in the remaining size classes of the target population)</t>
  </si>
  <si>
    <t>Combined type survey. 
a) enterprises with one legal unit: sample survey for enterprises with less than 100 persons employed, those with 100 or more persons employed are sampled with census;
b) enterprises that consist of 2-8 legal units: sample survey for enterprises with less than 250 persons employed, those with 250 or more persons employed are sampled with census;
c) enterprises that consist of more than 8 legal units are treated as one separate stratum, with random sample.</t>
  </si>
  <si>
    <t>Combined (larger enterprises with 50+ employees and enterprises in strata with small number of enterprises are enumerated, and the rest are sampled)</t>
  </si>
  <si>
    <t>Combined (larger enterprises with 250+ persons employed are enumerated, while smaller enterprises are sampled)</t>
  </si>
  <si>
    <t>Combined (census in the strata of the enterprises with 1,000–4,999 persons employed and of the enterprises with 5,000 or more persons employed, and sample survey for the rest)</t>
  </si>
  <si>
    <t>Combined (complete enumeration for enterprises with 250 and more employees, and sample survey for enterprises with 10-49 and 50-249 employee)</t>
  </si>
  <si>
    <t>Combined (census for enterprises with 50+ employees, enterprises that received/applied for an R&amp;D grant or enterprises in stratum containing less than 10 units, all others are sampled at rate of 30-40%)</t>
  </si>
  <si>
    <t>Combined (census for enterprises with more than 250 employees; enterprises that had reported activity in the survey CIS2020; enterprises which conducted innovative activity (information from other sources), enterprises with the following occupations in 2021 or 2022 - head/director of research department, deputy head/deputy director of research department, senior scientist, scientist; and the rest of enterprises were covered through sampling)</t>
  </si>
  <si>
    <t>Sample survey (enterprise units with 500 or more persons employed have probability 1).</t>
  </si>
  <si>
    <t>Combined (census was applied for the subpopulation of industrial enterprises (NACE sections B, C, D and E) with more than 49 persons employed and sample survey was used for industrial enterprises with 10-49 persons employed and for the service sector). Additional legal units were added in order to ensure correct data processing from the level of legal units to the statistical unit enterprise.</t>
  </si>
  <si>
    <t>Combined (Portuguese Community Innovation Survey was collected using a combination of methods census and sample survey. Census operation in the case of large enterprises (i.e., with ≥ 250 persons employed) and a sample survey for the other strata).</t>
  </si>
  <si>
    <t>Combined (large enterprises with 250 or more employees - exhaustive survey, while smaller enterprises - sample survey).</t>
  </si>
  <si>
    <t>Combined (census covers all enterprises in the Core NACE activities employing 50 or more persons, and sample survey covers enterprises employing between 10 and 49 persons)</t>
  </si>
  <si>
    <t>Combined (enterprises with 200 or more employees as well as research institutes (regardless of size) were enumerated and smaller enterprises and non-research institutes were sampled through stratified random sampling)</t>
  </si>
  <si>
    <t>Combined (sample survey and census for 250+ size class)</t>
  </si>
  <si>
    <t>Sample survey (random sample of 5 000 firms from the business register)</t>
  </si>
  <si>
    <t>Type of interviews</t>
  </si>
  <si>
    <t>Webform</t>
  </si>
  <si>
    <t>Web questionnaire (and postal questionnaire as alternative)</t>
  </si>
  <si>
    <t>Web, postal questionnaire, and phone interviews</t>
  </si>
  <si>
    <t>Web questionnaire</t>
  </si>
  <si>
    <t>Hybrid approach combining CATI (Computer Assisted Telephone Interviewing) &amp; CASI/CAWI (Computer Assisted Self/Web-Interviewing)</t>
  </si>
  <si>
    <t>Electronic questionnaire (in some cases, respondents completed the questionnaire over the phone with an interviewer.)</t>
  </si>
  <si>
    <t>Postal and Online/Web questionnaire</t>
  </si>
  <si>
    <t>Self-applied by web. There’s email and telephone follow-ups which include help for answering the survey when needed.</t>
  </si>
  <si>
    <t>Electronic (pdf, web) questionnaire</t>
  </si>
  <si>
    <t>Web and postal questionnaires with the possibility of telephone interview.</t>
  </si>
  <si>
    <t>Web and postal questionnaires</t>
  </si>
  <si>
    <t xml:space="preserve">Electronic questionnaire </t>
  </si>
  <si>
    <t>Online survey supported by telephone contacts by experienced statistical correspondents (interviewers)</t>
  </si>
  <si>
    <t>Use of electronic questionnaire</t>
  </si>
  <si>
    <t>Electronic questionnaire</t>
  </si>
  <si>
    <t>Web survey (online questionnaire)</t>
  </si>
  <si>
    <t>Combined (web, electronic, fax, visit to enterprises)</t>
  </si>
  <si>
    <t>Only via the electronic statistical data preparation and transfer system e-Statistics.</t>
  </si>
  <si>
    <t>Web survey</t>
  </si>
  <si>
    <t>Web questionnaire and phone assisted interviews</t>
  </si>
  <si>
    <t>Electronic questionnaire and postal questionnaire (only in a few cases)</t>
  </si>
  <si>
    <t>Web survey (online survey available on the platform via URL) and electronic questionnaire (format Word or PDF to send back by email)</t>
  </si>
  <si>
    <t>Web survey (electronic data collection, enabling reporting units to fill in statistical questionnaires online)</t>
  </si>
  <si>
    <t>Web questionnaire and administrative sources</t>
  </si>
  <si>
    <t>Computer Assisted Telephone Interviewing (CATI) and online questionnaire</t>
  </si>
  <si>
    <t>Average time to complete the questionnaire</t>
  </si>
  <si>
    <t>1 hour</t>
  </si>
  <si>
    <t>Unknown. This information is not collected for voluntary surveys.</t>
  </si>
  <si>
    <t>Not collected</t>
  </si>
  <si>
    <t>1,8 hours (estimated)</t>
  </si>
  <si>
    <t>Not available</t>
  </si>
  <si>
    <t>81 minutes</t>
  </si>
  <si>
    <t>median time = 30 minutes</t>
  </si>
  <si>
    <t>60 mins</t>
  </si>
  <si>
    <t>1.5 hour</t>
  </si>
  <si>
    <t>77 minutes</t>
  </si>
  <si>
    <t>~ 1.10h</t>
  </si>
  <si>
    <t>236 minutes (including preparation of the necessary data)</t>
  </si>
  <si>
    <t>73 minutes</t>
  </si>
  <si>
    <t>2,46 hours</t>
  </si>
  <si>
    <t>66 minutes</t>
  </si>
  <si>
    <t>37 minutes</t>
  </si>
  <si>
    <t>30-40 minutes</t>
  </si>
  <si>
    <t xml:space="preserve">Target population </t>
  </si>
  <si>
    <t xml:space="preserve">15052 enterprises (only core CIS coverage) </t>
  </si>
  <si>
    <t>9584 firms</t>
  </si>
  <si>
    <t>6000 enterprises</t>
  </si>
  <si>
    <t>23766 enterprises</t>
  </si>
  <si>
    <t xml:space="preserve">169273 enterprises (only core CIS coverage) </t>
  </si>
  <si>
    <t>74737 enterprises</t>
  </si>
  <si>
    <t>9924 enterprises</t>
  </si>
  <si>
    <t>13320 enterprises</t>
  </si>
  <si>
    <t>16776 enterprises</t>
  </si>
  <si>
    <t>156,624 enterprises (108,550 enterprises in core EU sectors)</t>
  </si>
  <si>
    <t>8003 enterprises</t>
  </si>
  <si>
    <t>22097 enterprises</t>
  </si>
  <si>
    <t>8262 enterprises (Core)</t>
  </si>
  <si>
    <t>117590 enterprises</t>
  </si>
  <si>
    <t>57025 enterprises (Includes manufacturing; mining; electricity, gas and water supply; services)</t>
  </si>
  <si>
    <t>Target population (manufacturing)</t>
  </si>
  <si>
    <t>3,990 enterprises</t>
  </si>
  <si>
    <t xml:space="preserve">6848 enterprises (C) 488 enterprises (B, D, E) </t>
  </si>
  <si>
    <t>3000 enterprises</t>
  </si>
  <si>
    <t>11585 enterprises</t>
  </si>
  <si>
    <t xml:space="preserve">71485 enterprises (only core CIS coverage) </t>
  </si>
  <si>
    <t>34486 enterprises</t>
  </si>
  <si>
    <t>4065 (B-C-D-E)</t>
  </si>
  <si>
    <t>5042 enterprises</t>
  </si>
  <si>
    <t>7944 enterprises</t>
  </si>
  <si>
    <t>63,462 enterprises</t>
  </si>
  <si>
    <t>2907 enterprises</t>
  </si>
  <si>
    <t>12531 enterprises</t>
  </si>
  <si>
    <t>3811 enterprises</t>
  </si>
  <si>
    <t>Target population (services)</t>
  </si>
  <si>
    <t>7716 enterprises (G46, H, J, K, M71-72-73)</t>
  </si>
  <si>
    <t>11295 enterprises</t>
  </si>
  <si>
    <t xml:space="preserve">92104 enterprises (only core CIS coverage) </t>
  </si>
  <si>
    <t>40251 enterprises</t>
  </si>
  <si>
    <t>5859 (G46-H-J-K_M71-M72-M73)</t>
  </si>
  <si>
    <t>7951 enterprises</t>
  </si>
  <si>
    <t>8832 enterprises</t>
  </si>
  <si>
    <t>67,595 enterprises (41,691 enterprises in core EU sectors)</t>
  </si>
  <si>
    <t>4786 enterprises</t>
  </si>
  <si>
    <t>9566 enterprises</t>
  </si>
  <si>
    <t>4112 enterprises</t>
  </si>
  <si>
    <t>Achieved sample - responses received from the sample population</t>
  </si>
  <si>
    <t>13995 enterprises</t>
  </si>
  <si>
    <t>96.6% of 1532 firms</t>
  </si>
  <si>
    <t>1353 enterprises</t>
  </si>
  <si>
    <t>9,811 (unweighted achieved sample)</t>
  </si>
  <si>
    <t>7337 enterprises</t>
  </si>
  <si>
    <t xml:space="preserve">4,571 enterprises, plus 3,117 enterprises completed non-response questionnaires (only core CIS coverage) </t>
  </si>
  <si>
    <t>25870 enterprises</t>
  </si>
  <si>
    <t>9 878 responses received</t>
  </si>
  <si>
    <t>4261 enterprises</t>
  </si>
  <si>
    <t>7554 enterprises</t>
  </si>
  <si>
    <t>17,929 enterprises (12,711 respondents in core EU sectors)</t>
  </si>
  <si>
    <t>2257 enterprises</t>
  </si>
  <si>
    <t>8421 (sample) - 7151 (response)</t>
  </si>
  <si>
    <t>8909 enterprises</t>
  </si>
  <si>
    <t>2609 enterprises (Core)</t>
  </si>
  <si>
    <t>About 2,800 observation units</t>
  </si>
  <si>
    <t>5882 entities</t>
  </si>
  <si>
    <t>1661 enterprises (Includes manufacturing; mining; electricity, gas and water supply; services)</t>
  </si>
  <si>
    <t>Achieved sample (manufacturing) - responses received from the sample population</t>
  </si>
  <si>
    <t>6069 enterprises (C) 460 enterprises (B, D, E)</t>
  </si>
  <si>
    <t>679 enterprises</t>
  </si>
  <si>
    <t>1,690 (unweighted achieved sample)</t>
  </si>
  <si>
    <t>4140 enterprises</t>
  </si>
  <si>
    <t xml:space="preserve">3,067 enterprises, plus 2,213 enterprises completed non-response questionnaires (only core CIS coverage) </t>
  </si>
  <si>
    <t>13952 enterprises</t>
  </si>
  <si>
    <t>1133 (B-C-D-E)</t>
  </si>
  <si>
    <t>1932 enterprises</t>
  </si>
  <si>
    <t>3974 enterprises</t>
  </si>
  <si>
    <t>5,341 enterprises</t>
  </si>
  <si>
    <t>918 enterprises</t>
  </si>
  <si>
    <t>205 (including B, D and E)</t>
  </si>
  <si>
    <t>4053 (sample) - 3627 (response)</t>
  </si>
  <si>
    <t>3837 enterprises</t>
  </si>
  <si>
    <t>1245 enterprises</t>
  </si>
  <si>
    <t>2806 entities (including sectors B, D and E, excluding construction)</t>
  </si>
  <si>
    <t>Achieved sample (services) - responses received from the sample population</t>
  </si>
  <si>
    <t>7466 enterprises (G46, H, J, K, M71-72-73)</t>
  </si>
  <si>
    <t>674 enterprises</t>
  </si>
  <si>
    <t>2648 enterprises</t>
  </si>
  <si>
    <t xml:space="preserve">1,504 enterprises, plus 904 enterprises completed non-response questionnaires (only core CIS coverage) </t>
  </si>
  <si>
    <t>11918 enterprises</t>
  </si>
  <si>
    <t>1353 (G46-H-J-K-M71-M72-M73)</t>
  </si>
  <si>
    <t>2108 enterprises</t>
  </si>
  <si>
    <t>3580 enterprises</t>
  </si>
  <si>
    <t>9,569 enterprises (5,986 respondents in core EU sectors)</t>
  </si>
  <si>
    <t>1188 enterprises</t>
  </si>
  <si>
    <t>4386 (sample) - 3524 (response)</t>
  </si>
  <si>
    <t>4923 enterprises</t>
  </si>
  <si>
    <t>1227 enterprises</t>
  </si>
  <si>
    <t>3076 entities</t>
  </si>
  <si>
    <t>Weighted unit response rate</t>
  </si>
  <si>
    <t>25.3% (achieved sample as a share of sample net of not eligible units),
52.1% (achieved sample plus completed non-response questionnaires as a share of sample net of not eligible units)</t>
  </si>
  <si>
    <t xml:space="preserve">75.93% </t>
  </si>
  <si>
    <t>99.9%</t>
  </si>
  <si>
    <t>82.42%</t>
  </si>
  <si>
    <t>84,48 % (Core)</t>
  </si>
  <si>
    <t>Unweighted unit response rate</t>
  </si>
  <si>
    <t xml:space="preserve">77.16% </t>
  </si>
  <si>
    <t>38.7% (12,577 / 32,489)</t>
  </si>
  <si>
    <t>52.0% (KIS 2022) / 69.5% (KIS 2023)</t>
  </si>
  <si>
    <t>88.03%</t>
  </si>
  <si>
    <t>85,43 % (Core)</t>
  </si>
  <si>
    <t>Definition of strata</t>
  </si>
  <si>
    <t>By ISIC Rev4 2-digits and firm size (10-25; 26-99; 100-500; &gt;500 employees)</t>
  </si>
  <si>
    <t>The sample was stratified by industry, employment-based size and state.</t>
  </si>
  <si>
    <t>For the sampled enterprises a stratified random sampling was applied. The variables used for the stratification of the sample were the economic activity of the enterprise according to NACE Rev.2 classification, enterprise size and NUTS 1-region. (19 x 3 x 3 strata = 171 strata)</t>
  </si>
  <si>
    <t xml:space="preserve">For the randomly sampled enterprises a stratified random sampling design was applied. The variables used for the stratification of the sample were the economic activity of the enterprise (according to ISIC Rev. 4/NACE Rev.2 classification) and the enterprise size (10-49, 50-249, 250+).  </t>
  </si>
  <si>
    <t>No stratification - census survey</t>
  </si>
  <si>
    <t>"Certain" and sampled strata</t>
  </si>
  <si>
    <t>Random sample methodology stratified by industry, region and enterprise size (3 enterprise classes based on number of employees, 20-99, 100-249, +250 employees).</t>
  </si>
  <si>
    <t>34 industries, mostly NACE Rev. 2 2-digit, and three industry-specific size classes. The latter are constructed on the basis of employees using “optimal stratification” (Dalenius 1950).</t>
  </si>
  <si>
    <t>The sampling design is probabilistic and stratified, where the strata are defined by the cross-classification of these variables: economic activity according to ISIC Rev. 4, company size based on annual sales (measured in UF), demographic macrozone, and the category of forced inclusion or random inclusion.</t>
  </si>
  <si>
    <t>By size class, NACE and NUTS2</t>
  </si>
  <si>
    <t>For the sampled enterprises a stratified random sampling was applied. The variables used for the stratification of the sample were the economic activity of the enterprise (according to NACE Rev.2 classification) and the enterprise size (5-9, 10-19, 20-49, 50-99, 100-249, 250-499, 500-999, 1000+ employees). The stratified sample is disproportional according to innovation indicators such as innovation expenditures as a percentage of sales, share of innovative enterprises).</t>
  </si>
  <si>
    <t>By size class and NACE</t>
  </si>
  <si>
    <t>A stratified random sampling was applied. The variables used for the stratification of the sample were the economic activity of the enterprise according to NACE Rev.2 classification (59 strata), enterprise size (10-49, 50-249, 250+: 3 strata) and NUTS 2-region (19 strata).</t>
  </si>
  <si>
    <t>For the sampled enterprises a stratified random sampling was applied. The variables used for the stratification of the sample were the economic activity of the enterprise (according to NACE Rev.2 classification - see question 17 for industry coverage) and the enterprise size (10-19, 20-49, 50-99, 100-249, 250+).</t>
  </si>
  <si>
    <t>Stratified simple random sampling. The variables used for the stratification were the economic 
activity of the enterprise (according to NACE Rev.2 classification) and 
the enterprise size class (10-49, 50-249, 250+ as a census part). 
Use of "number of persons employed" according tuo EU regulation on European Business Statistics.</t>
  </si>
  <si>
    <t>For the sampled enterprises stratified random sampling was applied. 
The variables used for the stratification of the sample were : 
- the economic activity of the enterprise (according to NACE Rev.2 classification),
- the enterprise size (10-19, 20-49, 50-249, 250+), 
- the entreprise group (with nationality)
- and the region where possible.</t>
  </si>
  <si>
    <t xml:space="preserve">The sample is a stratified design drawn from the Inter-Departmental Business Register (IDBR) with Neyman allocation used to determine the sample size in each stratum. Overall, roughly 15 per cent of the target population in sampled. Stratification was based on three variables: 
1) Region - All regions (9 Standard Regions in England) and countries in the UK
2) Division - Coverage of 25 specified sectors in the target population
3) Business Size: 10-49, 50-99, 100-249, 250 plus employees </t>
  </si>
  <si>
    <t>Stratification based on NUTS-2 region, 2-digit NACE sector, and size class (10-19, 20-49, 50-99, 100-249, 250-499, 500-999, and 1000+ persons employed).</t>
  </si>
  <si>
    <t>The stratification variables were:
- The economic activities (in accordance with 2 digit NACE)
- Enterprise size according to the number of employees</t>
  </si>
  <si>
    <t>Stratification is made according to CIS methodological recommendations. The variables used for the stratification are the economic activity of the enterprise according to NACE rev.2 classification at the 2 digits (division) level, enterprise staff size (number of persons employed), and enterprise location by NUTS-2 region.</t>
  </si>
  <si>
    <t>For the sampled enterprises a stratified random sampling was applied. The variables used for the stratification of the sample were the economic activity of the enterprise (according to NACE Rev.2 classification, 2 digits) and the enterprise size (10-49, 50-249, 250+).</t>
  </si>
  <si>
    <t xml:space="preserve">The enterprises were stratified with regard to the economic activity sector (Nace division), the size class based on employed persons (three categories: 10-49, 50-249, and 250 or more employed persons), andthe region of residence (21 categories, corresponding to level 2 of the European NUTS classification), resulting in a total of 2,541 strata. </t>
  </si>
  <si>
    <t>For the sampled enterprises, a stratified random sampling was applied. The variables used for the stratification of the sample were the economic activity of the enterprise (according to JSIC Rev.14 breakdown selected in consideration with correspondences with ISIC Rev.4/NACE Rev.2 breakdown) and the enterprise size class (10–49, 50–249, 250–999, 1,000–4,999, and 5,000+ persons employed)</t>
  </si>
  <si>
    <t>The samples are stratified by industry (KSIC Rev.10 2-digit) and number of workers.</t>
  </si>
  <si>
    <t>The variables used for the stratification of the sample were the economic activity of the enterprise (according to NACE Rev.2 classification, 2 digits) and the enterprise size (10-49, 50-249, 250+).
All enterprises from small groups (less than 15 units) by NACE Rev 2 activities and number of persons employed groups were included into the sample. The enterprises with 250+ employees are covered by complete enumeration. Within every NACE Rev 2 group the strata of enterprises were formed by number of persons employed groups. Then the Neyman optimal allocation (with variable number of persons employed) was used for determination of the sample size for each stratum specified. In each stratum simple random sampling was used.</t>
  </si>
  <si>
    <t>The frame population was stratified using the following criteria:
- 3 size classes (i.e. 10-49, 50-249, 250+ employees)
- 26 NACE categories (B05_09, C10_12, C13_15, C16_18, C19_22, C23_23, C24_24, C25_30, C31_33, D35, E36_39, G46, H49_51, H52_53, J58, J59, J60, J61, J62, J63, K64, K65, K66, M71, M72, M73).
- A dummy variable on whether the unit had applied for LU public grants for R&amp;D.
This lead to the creation of 126 strata. Strata containing less than 10 units were sampled at 100%.</t>
  </si>
  <si>
    <t>The method adopted was stratified simple random sampling. Enterprises were stratified by the size class of enterprise by number of employees, and economic activity by NACE 2.red. classifications and NUTS3.</t>
  </si>
  <si>
    <t>Statification by NACE (2-digit) and size class.</t>
  </si>
  <si>
    <t>Strata were defined as intersections of PKD (NACE) divisions, geographical regions (voivodships) and enterprise sizes (10-49 persons employed, 50-249, 250+)</t>
  </si>
  <si>
    <t>The sampling frame was stratified by economic activity, enterprise size, according to the persons employed (10-49, 50-249 and 250+) and NUTS2 region. The sample size was determined in order to
guarantee the recommended level of precision.</t>
  </si>
  <si>
    <t>The strata were defined according to the activity, enterprise size by the number of employees and the geographical region. According NUTS 2016 classification, CIS collect and disseminate regional information at NUTS 2 level (Romanian 8 basic regions for the application of regional policies). NUTS2 was used as a geographical stratification dimension for sampling.</t>
  </si>
  <si>
    <t>For the sampled enterprises a stratified random sampling was applied. The variables used for the stratification of the sample were the economic activity of the enterprise (according to NACE Rev.2 classification 2 digit level) and the enterprise size (10-49, 50-249, 250+).</t>
  </si>
  <si>
    <t>Data were collected through combination of a census and sample survey. All units were divided into strata defined by 2 digit NACE activities and by size classes. Units with at least 250 employees were in class 1, units with employees ranges from 50 - 250 were in class 2 and units with employees ranges from 10 - 49 were in class 3. All units from classes 1 and 2 were selected with certainty (census), units from class 3 were selected by sampling (coordinating sampling). Allocation was proportional, taking into account that in each strata were selected at least min {number of units in strata,8} .</t>
  </si>
  <si>
    <t>For the sampled enterprises a stratified random sampling was applied. The variables used for the stratification of the sample were the economic activity of the enterprise (according to NACE Rev.2 classification, 2 digit level), size class (10-49, 50-199, 200-249, 250-499, 500+ employees) and NUTS 2 (only size classes 10-49 and 50-199 employees).</t>
  </si>
  <si>
    <t>Economic activities (in accordance with NACE Rev.2) and enterprise size according to the number of employees (10-49, 50-249 and 250+).</t>
  </si>
  <si>
    <t xml:space="preserve">The strata were made up of six main sectors, and four size classes per subsector, which gave a total of 30 x 4 = 120 strata. </t>
  </si>
  <si>
    <t>Weights calculation methods: variables used and methodology</t>
  </si>
  <si>
    <t>Number of firms per strata, adjusted by no response</t>
  </si>
  <si>
    <t>For the BCS, the weights are calculated with respect to the following factors: the probability of selection for each survey unit (probability weighting); adjustments to account for problems with the survey frame - such as missing units (new business provisions); and adjustment for non-response - to correct for further imbalances in the characteristics of responding sample units (post-stratification).</t>
  </si>
  <si>
    <t>Iterative proportional fitting was used to adjust the weights according to the number of enterprises in the strata and the number of innovative enterprises by size class. A self-developed SAS macro was used. Results of non-response survey was used for calibration.</t>
  </si>
  <si>
    <t>Calibration method was used to adjust the survey weights for non-response. Weights were also calibrated on number of enterprises, turnover and number of persons employed whenever feasible.</t>
  </si>
  <si>
    <t>Please refer to “The Construction of a Self-representing Stratum of Large Units in Survey
Design” (Hidiroglou, 1986)</t>
  </si>
  <si>
    <t>A complete file of weighted micro data was created for all sampled enterprises in the survey population for which data were reported or imputed. Weights were adjusted by a factor to account for total non-response so that the final estimates would be representative of the entire survey population. Weighted estimates were produced using the Generalised System of Estimation.</t>
  </si>
  <si>
    <t>Frequency weights corrected for survey non-response</t>
  </si>
  <si>
    <t>Methodology: Based of selection probability, corrected by strata reclassification and a smoothing process</t>
  </si>
  <si>
    <t>Weights were calibrated to number of enterprise, number of employees according to business register and value of sales according to VAT declaration. Generalized linear regression (GREG) was used.</t>
  </si>
  <si>
    <t xml:space="preserve">Three weights are used: enterprise weight (for qualitative variables), sales weight (for expenditure and sales variables) and employee weight (for employment variables).
The German CIS applies simple weighting (qualitative variables such as the number of innovators) and bounded weighting (quantitative variables such as innovation expenditure or sales with new products). </t>
  </si>
  <si>
    <t>Weighting was performed by "number of enterprises". The weighting process was performed in two steps. Firstly, basic weights were calculated in a simple way by Nh/nh using the inverse of the sampling fraction. In a second step the weights were re-adjusted according to the results of the non-response analysis. The re-adjusted weights were the only ones used for producing the final results.</t>
  </si>
  <si>
    <t>Variables: Number of enterprises
Methodology: Weight for every stratum = number of respondents with filled questionnaire / number of firms in target population</t>
  </si>
  <si>
    <t>Two types of weights based on numbers of enterprises and turnover are used. 
Weights based on enterprise numbers for qualitative variables:  N/n, number of enterprises in a stratum (in the frame)/number of responding enterprises (valid responses). Weights based on turnover for quantitative variables: total turnover of the enterprises in a stratum (in the frame)/total turnover of the responding enterprises (valid responses). Over-coverage and extreme values are accounted for in the calculations.</t>
  </si>
  <si>
    <t>Correction of total non-response by reweighting using the homogeneous response group method, calibration on margins and winsorisation.</t>
  </si>
  <si>
    <t>The results are based on weighted data in order to be representative of the population of firms. The responses were weighted back to the total business population of those in the IDBR. On average each respondent represents 16 enterprises in the population.</t>
  </si>
  <si>
    <t>Weights are calculated as the inverse of the sampling fraction, using the total number of enterprises in each stratum divided by the number of enterprises in the realized sample in the same stratum. By considering the realized sample, weights are adjusted for unit non-response.</t>
  </si>
  <si>
    <t>Variables used for weighting are: the number of selected units from strata in sample, total number of units in strata from population (for design weight), number of existing selected units in sample and number of existing units that have responded (for response weights), number of employees (for ratio estimator)</t>
  </si>
  <si>
    <t>Variables: Number of enterprises
Methodology: The basic method for adjusting for different probabilities of selection used in the sampling process is to use the inverse of the sampling fraction i.e. using the number of enterprises. Our method is based on the figure Nh/nh where Nh is the total number of enterprises in stratum h of the population and nh is the number of enterprises in the realised sample in stratum h of the population, assuming that each unit in the stratum had the same inclusion probability. This automatically adjusts the sample weights of the respondents to compensate for unit non-response.</t>
  </si>
  <si>
    <t>Variables: number of enterprises, turnover, employment
Methodology: Grossing factors for the CIS are calculated using the inverse of the number of valid respondents divided by the relevant population from the Central Business Register.  Grossing is calculated for strata of 2-digit NACE by employment size class.  The factors which are calculated are then applied to the survey results in order to gross the data up to the relevant populations.</t>
  </si>
  <si>
    <t>Significant innovations were introduced in the statistical units of survey and analysis, as well as in producing estimates for the 2020-2022 period. Until the previous edition, the classical definition of enterprise under Regulation EC 696/93 was used, interpreting the enterprise as a single legal entity. From the 2022 edition onwards, consistent with practices adopted by the Active Enterprise Statistical Register (Asia-Imprese) from 2019 and by other structural statistics systems, the full definition of Regulation EC 696/93 has been applied, recognizing the enterprise as a simple or complex unit, with single or multiple relationships to legal entities. The target population for the survey comprises enterprises (ENT) active in 2021. The sampling design is a stratified cluster sample. Clusters represent enterprises, which are stratified according to the above mentioned criteria. In each stratum, enterprises were selected with equal probability, and within each selected enterprise, while information was gathered for all Legal Units (LU) that fall within the survey’s scope. To address non-response and ensure that estimates align with the totals from the Statistical Register ASIA UG and the Statistical Register ASIA ENT registers for 2021, sample weights were adjusted through a calibration process. This adjustment ensured consistency across each of the survey's domains of interest (listed before) by meeting the following constraints: • the number of enterprises, • the number of Legal Units (LUs), • the number of employed persons per enterprise. A total of 483 constraints were applied in the calibration. Although the number of employed persons per LU was not directly considered, this approach controlled the estimate of the national LU employed persons’ number, resulting in a minimal discrepancy of under 4,000 employed persons when compared with the total provided by the ASIA UG register. The calibration was conducted using a linear distance function with a lower limit set at 0.1 to prevent negative weights. This calibration, along with the estimation and sampling error calculation, was executed in ReGenesees, a software developed in R for the design-based and model-assisted analysis of complex sample surveys (Zardetto, 2015). The calibrated weights derived from this process were applied to produce enterprise-level (ENT) estimates. For LU-level estimates, a corresponding system of weights was generated to maintain consistency with enterprise weights. Specifically, to each LU was assigned the weight of its corresponding enterprise. For LUs associated with multiple enterprises, the weight was calculated by summing the weights of all enterprises with which the LU was associated.</t>
  </si>
  <si>
    <t>Weights are calculated as inverse ratios of the numbers of enterprises in the achieved sample to the numbers of enterprises in the target population by sampling stratum.</t>
  </si>
  <si>
    <t>Variables: Number of Employees (10-49, 50-99, 100-299, 300-499, above 500)
Industry Sectors: 56 sectors (Manufacturing 23 sectors, Services 33 sectors)
Methodology: Neyman allocation method and cut-off sampling (above 500)</t>
  </si>
  <si>
    <t>The variables used for weighting were the same as for stratification, i. e. the economic activities and enterprise size according to the number of employees. 
Methodology: There were some divergences between the target population and the frame population due of economically not active enterprises. These errors were estimated according to the sample design. Economically non active enterprises were excluded from target population. All results were weighted against the total population by means of sample weights. The weights were established by using the probability of each enterprise to be included in the sample. The primary strata were not changed and the primary weights were used for actual estimation domains. The calibration method was not used.</t>
  </si>
  <si>
    <t>The initial weights are based on the inverse sampling fraction.
The final weights were calculated as follows:
• First, the original sampling weights for each stratum were adjusted to compensate for unit non-response (original weight divided by response rate for the survey stratum).
• The adjusted sampling weights were then calibrated to increase coherence with SBS data.
The auxiliary variable used was the number of persons employed; the strata used were the same as those used for sampling, when possible. Calibration also took into account whether enterprises applied for or received a national public grant for R&amp;D.</t>
  </si>
  <si>
    <t>The inverse of the sampling fractions was used as weights. All large statistical units had weights=1. In the realized sample weights=Nh/mh where Nh is the total number of enterprises in the stratum h of the population and mh is the number of enterprises in the realised sample in the stratum h, assuming that each unit in the stratum had the same inclusion probability. This will automatically adjust the sample weights of the respondents to compensate for unit non-response.</t>
  </si>
  <si>
    <t>Linear based on numer of enterprises.</t>
  </si>
  <si>
    <t>The base weights were calculated separately for strata as ratios: the number of enterprises of the frame population to the number of enterprises in the sample. The base weights were corrected for unit non-response by multiplying the base weight by adjustment factor. The non-response adjustment factors were computed using information about reasons of non-response (e.g. unit was inactive or there was incorrect contact information).</t>
  </si>
  <si>
    <t>The variables used for weighting are all three stratification variables (the economic activities in accordance with NACE, the size-classes and Regional aspects at NUTS 2 level). For the sample weights, it was used the inverse of the sampling fraction (using the number of enterprises). No calibration method was used.</t>
  </si>
  <si>
    <t>The initial weights are computed based on the inverse of the sampling fraction. Weight = N /n where N is the total number of enterprises/employees in stratum h of the population and n is the realised sample in stratum h of the population, assuming that each unit in the stratum had the same probability of inclusion. After collection of data, the initial weights are adjusted aiming to compensate the non-response rate. Initially is computed the ratio Nh / mh where Nh is the total number of enterprises in stratum h of the population and mh is the number of enterprises in the realised sample in stratum h of the population, with response. Starting from Nh / mh as basic final weights, we got calibrated weights using a specific statistical software. The auxiliary source for the totals (calibration files) is represented by the population of the enterprises from Structural Business Survey (SBS) 2022, only for the covering of CIS 2022. The level of aggregation was NACE 2 digits and size class according to average number of employees. We compared the totals from SBS 2022 with the totals of CIS 2022, regarding the following indicators: number of enterprises, turnover and number of employees. There were computed 3 coefficients: for turnover, number of enterprises and number of employees.</t>
  </si>
  <si>
    <t>The initial weights were calculated as Nh/nh, where Nh was the total number of enterprises in stratum h of the population and nh was the number of enterprises in the sample in stratum h, assuming that each unit in the stratum had the same inclusion probability. Initial weights were updated after collection of questionnaires. As a last step, calibration was applied, using Calif tool in R. The variables used for calibration were the total number of enterprises, turnover and number of employed persons, all of them taken from the SBS.</t>
  </si>
  <si>
    <t>With weighting adjustment we want to achieve representatives of the sample, so that the weighted data give us as good population estimates as possible. The process of weighting depends on the sampling design, the unit nonresponse rate and available auxiliary variables used for calibration. The final weight is the product of the sampling weight, the nonresponse weight and the calibration factor.</t>
  </si>
  <si>
    <t>Three weights are used. 
(1) The first is calculated as the total number of enterprises in the population per strata divided by the number of enterprises answering the questionnaire per strata: Nh/nh where Nh is the total number of enterprises in strata h of the population and nh is the number of enterprises that answered the survey in the sample in strata h of the population. Assuming that each unit in the stratum had the same inclusion probability.
(2) The second is calculated as the total number of employees in the population per strata divided by the number of employees among enterprises answering the questionnaire per strata: Eh/eh where Eh is the total number of employees in the strata h of the population and eh is the number of employees among enterprises that answered the survey in the strata h of the population. Assuming that each unit in the stratum had the same inclusion probability.
(3) The third is calculated as the total turnover in the population per strata divided by the turnover of enterprises answering the questionnaire per strata: Th/th where Th is the total total turnover in the strata h of the population where th is the turnover of enterprises that answered the survey in the strata h of the population. Assuming that each unit in the stratum had the same inclusion probability.</t>
  </si>
  <si>
    <t>Weighting method is applied to obtain parameters from the data set resulting from sampling so as to represent the universe. These parameters include design weights, adjustments for non-response, external distribution checks and ultimate multiplying factor. </t>
  </si>
  <si>
    <t>For an ideal weighting, at least one innovation-active response and at least one non-innovation active response must be realised per stratum, for stratum level weights to be calculable. However, this condition was only met for business size classes in the two sub-sectors of the wholesale and retail trade sector. For all the other sectors, either no innovation-active responses or non-innovation active responses or both (only two strata) were realised in certain size classes in some subsectors. Therefore, for these sectors, size class level weights were used, after adjusting the target population sizes within the sector to account for the zero responses in the two strata in Sector 2 (mining and quarrying), where neither innovation-active nor non-innovation active responses were realised. This was achieved by equally dividing and re-assigning the portion of the target population size of the affected strata to the remaining strata of the same size-class within the sector.</t>
  </si>
  <si>
    <t>Implementation of non-response survey</t>
  </si>
  <si>
    <t>No</t>
  </si>
  <si>
    <t xml:space="preserve">Yes. 1244 enterprises were included in the non-response survey with 3 main questions on innovation activity (product innovation, business process innovation, R&amp;D) of which 323 responded. </t>
  </si>
  <si>
    <t>Imputation is performed only to treat item non-responses.</t>
  </si>
  <si>
    <t>Telephone calls to 500 non-responding firms where answers to product and process innovations as well as R&amp;D activities are collected.</t>
  </si>
  <si>
    <t>A comprehensive non-response survey is carried out, based on a stratified sample of all non-responding firms. For each firm in the non-response sample, up to three replacement firms are drawn, which are surveyed in case a sampled firm refused to participate in the non-response survey. The non-response survey is carried out by telephone and collects data on product innovation, process innovation, ongoing or abandoned innovation activities, and in-house R&amp;D activities. The non-response survey was conducted from August to October 2023.</t>
  </si>
  <si>
    <t>A non-response survey is carried out on a simple random sample of around 10% of non-responding units, given that the unit non-response rate exceeds 30%. The results of the non-response survey do not indicate significant differences between respondents and non-respondents, therefore, there is no need for further adjustment of the weighting factors.</t>
  </si>
  <si>
    <t>The target population for the survey comprises enterprises (ENT) active in 2021. The sampling design is a stratified cluster sample. Clusters represent enterprises, which are stratified according to the above mentioned criteria. In each stratum, enterprises were selected with equal probability, and within each selected enterprise, while information was gathered for all Legal Units (LU) that fall within the survey’s scope.</t>
  </si>
  <si>
    <t>Unit non-response: Re-contacting the enterprises and sample substitution (abiding by the applied rule of stratification)</t>
  </si>
  <si>
    <t>The measures for reducing errors consisted in selection of staff with knowledge in CIS methodology and experience in data entry and validation checks for online questionnaires. Also, we developed detailed methodological notes regarding the new terms and their definition. We re-contact the respondents for supplementary clarifications.</t>
  </si>
  <si>
    <t>For surveys that achieve response rates of less than 70%, a non-response survey of 
a simple random sample of non-responding businesses was conducted.</t>
  </si>
  <si>
    <t>Number and types of reminders</t>
  </si>
  <si>
    <t>5 to 10 reminders by phone or emails</t>
  </si>
  <si>
    <t>2 written reminders</t>
  </si>
  <si>
    <t>Two reminders were sent by postal mail.  Follow-up phone calls were started after the first reminder.</t>
  </si>
  <si>
    <t>Two or maximum three reminders by e-mail and/or phone</t>
  </si>
  <si>
    <t>Intensive non-response follow-up was conducted by email, telephone and fax as appropriate.</t>
  </si>
  <si>
    <t>One email and one telephone call</t>
  </si>
  <si>
    <t>Reminders by phone and email. The optimal number of contacts was 3 and considers only the direct contact between the analyst and the informant. However, to reach the informant can take up to seven attempts</t>
  </si>
  <si>
    <t>Two postal reminders are usually used. If needed the second reminder is followed by email and telephone follow-ups.</t>
  </si>
  <si>
    <t>Two reminders per telephone followed by a letter containing the questionnaire plus link to online version.</t>
  </si>
  <si>
    <t>3 postal reminders</t>
  </si>
  <si>
    <t>Automatic reminders: 2 preventive reminders - 8 days and 1 day before the deadline, 3 reminders after deadline - 3 days. 7 days and 37 days after the deadline. Additionally the telephone contacts were made if needed.</t>
  </si>
  <si>
    <t>Four letter reminders, robocall reminder, two email remainders</t>
  </si>
  <si>
    <t>Exhaustive mail reminders on non-respondents, priority telephone reminders on non-respondents</t>
  </si>
  <si>
    <t>2 postal</t>
  </si>
  <si>
    <t>Multiple e-mail reminders with personal follow-up by experienced statistical correspondents (interviewers).</t>
  </si>
  <si>
    <t>1 postal and others by telephone</t>
  </si>
  <si>
    <t>Two postal reminders and one or two phone calls</t>
  </si>
  <si>
    <t>Four reminders including a Final reminder - issued as a letter.</t>
  </si>
  <si>
    <t>To address non-response and ensure that estimates align with the totals from the Statistical Register ASIA UG and the Statistical Register ASIA ENT registers for 2021, sample weights were adjusted through a calibration process. This adjustment ensured consistency across each of the survey's domains of interest (listed before) by meeting the following constraints: · the number of enterprises, · the number of Legal Units (LUs), · the number of employed persons per enterprise. A total of 483 constraints were applied in the calibration. Although the number of employed persons per LU was not directly considered, this approach controlled the estimate of the national LU employed persons’ number, resulting in a minimal discrepancy of under 4,000 employed persons when compared with the total provided by the ASIA UG register. The calibration was conducted using a linear distance function with a lower limit set at 0.1 to prevent negative weights. This calibration, along with the estimation and sampling error calculation, was executed in ReGenesees, a software developed in R for the design-based and model-assisted analysis of complex sample surveys (Zardetto, 2015). The calibrated weights derived from this process were applied to produce enterprise-level (ENT) estimates. For LU-level estimates, a corresponding system of weights was generated to maintain consistency with enterprise weights. Specifically, to each LU was assigned the weight of its corresponding enterprise. For LUs associated with multiple enterprises, the weight was calculated by summing the weights of all enterprises with which the LU was associated.</t>
  </si>
  <si>
    <t>At least one postal reminder and one telephone reminder</t>
  </si>
  <si>
    <t>At least 3 times, up to 7 times by telephone</t>
  </si>
  <si>
    <t>Three automatic reminders via e. system, if enterprises were coded as non-responding. Later, if enterprises did not fill out the questionnaire the Data Preparation Division works with those enterprises.</t>
  </si>
  <si>
    <t>3 reminders are sent (with a registered letter to high-impact enterprises, on the 3rd reminder).</t>
  </si>
  <si>
    <t>Approximately 4 e-mails and 4 calls</t>
  </si>
  <si>
    <t>A maximum of three reminders were sent.</t>
  </si>
  <si>
    <t>Three email reminders for all non-respondents and additionally urging notes, emails and phone calls for still non-respondents.</t>
  </si>
  <si>
    <t>There are usually 7 reminders, an initial reminder of the response deadline, followed by 6 reminders to enterprises that have not responded after the initial reminder. The majority of reminders are sent via email. For enterprises that are not registered on the collection platform, reminders are sent by postal mail.</t>
  </si>
  <si>
    <t>3 recalls / automated email notification, email or call</t>
  </si>
  <si>
    <t>Generally, number of maximum reminders were 2 phone calls. In several cases more than 2 phone calls were conducted.</t>
  </si>
  <si>
    <t>Three reminders: two by e-mail and one by phone</t>
  </si>
  <si>
    <t>Two written reminders have been sent out.</t>
  </si>
  <si>
    <t>Up to 2 reminders</t>
  </si>
  <si>
    <t>Use of imputation methods</t>
  </si>
  <si>
    <t>Categorical items that are missing are not imputed. An adjustment for missing categorical variables is made as part of calculating the proportions. A check is made of response rates to each question and where the response rate is low enough to impact on output quality, some follow-up of missing responses is undertaken. There are some items (such as the key innovation indicators) where a response must be obtained.  Fully non-responding units are implicitly imputed using weight adjustment, i.e. the weight of other units in the stratum is adjusted upwards to account for the non-respondents.</t>
  </si>
  <si>
    <t>Yes</t>
  </si>
  <si>
    <t xml:space="preserve">For a small number of large non-responding enterprises, imputations were made using nearest neighbor hot decking for nominal and ordinal variables and ratio means for metric variables. </t>
  </si>
  <si>
    <t>Please refer to CANCEIS developed by Statistics Canada</t>
  </si>
  <si>
    <t>The imputation of item non-responses is performed using the nearest neighbour donor imputation procedure in the generalized system BANFF. This procedure finds, for each record requiring item imputation, its most similar valid record thereby allowing the imputed recipient record to pass the specified imputation edits and post edits rules.</t>
  </si>
  <si>
    <t>Rubin multiple imputations</t>
  </si>
  <si>
    <t>No imputations were made</t>
  </si>
  <si>
    <t>Number of employees and turnover was covered by Structural Business Statistics survey and/or Labour cost survey. For units with non-response, imputation was used. For turnover in first step data from Income tax statement were used, if not available regression model with sales according to VAT declaration as auxiliary variable was used. For number of employees as auxiliary variable a number of employees according to Business register was used.</t>
  </si>
  <si>
    <t>Longitudinal imputation based on firm information from prior surveys and cross-section imputation based on the mean of strata.</t>
  </si>
  <si>
    <t>Some partial non-response is imputed. Also, since collection of innovation data is performed in a combined R&amp;D and innovation survey, some total non-response is also imputed to cover the total non-response of the R&amp;D survey.</t>
  </si>
  <si>
    <t>Imputation with random forest method</t>
  </si>
  <si>
    <t xml:space="preserve">Nominal scale variables by mode of strata, ordinal scale variables by median of strata, 
metric variables by proportional coefficients in strata </t>
  </si>
  <si>
    <t>Correction of partial non-response</t>
  </si>
  <si>
    <t>Yes. Only when adminstrative data was not available, and strata concatenation could not be applied. First, metric variables were imputed using regression methods if needed (e.g., turnover, persons employed, R&amp;D expenditures), if other data were not available (e.g., business register, R&amp;D survey). Then, qualitative variables were imputed by the nearest neightbour approach, based on stratification characteristics, turnover and persons employed.</t>
  </si>
  <si>
    <t>No imputation methods</t>
  </si>
  <si>
    <t>No imputation</t>
  </si>
  <si>
    <t>No imputation.</t>
  </si>
  <si>
    <t>Hot-deck</t>
  </si>
  <si>
    <t>All the questions of the Portugese CIS survey are mandatory, and the electronic platform does not allow the submission of the questionnaire if there are unanswered questions. Inconsistent and outlier values are checked with the enterprises and if necessary corrections are made. The information about turnover and number of employees is directly imputed from the statistical business register.</t>
  </si>
  <si>
    <t>Data were edited with the combination of systematic corrections and imputation procedures. The following imputation methods were used: logical imputation and hot-deck imputation.</t>
  </si>
  <si>
    <t xml:space="preserve">According to Eurostat´s methodology and by use of the SAS tools developed by Eurostat, imputation only conducted for innovation expenditure.  </t>
  </si>
  <si>
    <t>Missing turnover, employment and R&amp;D expenditure values were imputed by estimating them using their corresponding arithmetic means.</t>
  </si>
  <si>
    <t>Combined with other surveys</t>
  </si>
  <si>
    <t>Yes (Business Characteristics Survey)</t>
  </si>
  <si>
    <t>Some variables used are from the Industrial Annual Survey</t>
  </si>
  <si>
    <t>Yes (modules on business strategy and global value chains)</t>
  </si>
  <si>
    <t>Yes (Information and Communication Technologies)</t>
  </si>
  <si>
    <t>Yes (R&amp;D survey)</t>
  </si>
  <si>
    <t>Yes (R&amp;D)</t>
  </si>
  <si>
    <t>Yes (additional items for the collection of data for the following national surveys conducted by EKT: i) Digital Transformation, ii) Women in Higher Management Positions, and iii) Regional Indicators)</t>
  </si>
  <si>
    <t>Some of the data for the Innovation Activity in Industry and Selected Services (INOV) survey are taken over from administrative sources. Data on turnover and the number of employees are taken over from the Statistical Business Register. Data on the share of turnover by type of geographic market are taken from the database of annual financial statements kept by the Agency of the Republic of Slovenia for Public Legal Records and Related Services (AJPES). AJPES collects data on the basis of the Companies Act (ZGD). Units that are not included in annual financial statements are attributed a 100% share of turnover on the Slovenian market. These are mostly units registered in section K – Financial and insurance activities. Data on the share of tertiary educated personnel in the enterprise are taken over from the Statistical Register of Employment (SRDAP) kept by SURS.</t>
  </si>
  <si>
    <t>Survey scope includes public enterprises (i.e. central, regional or local government-controlled)  (Yes/no, then please explain)</t>
  </si>
  <si>
    <t>Yes, they were selected randomly  like the other firms.</t>
  </si>
  <si>
    <t>No, the scope of the survey excludes SISCA 3000 (General government) and ANZSIC06 Division O (Public administration and safety).</t>
  </si>
  <si>
    <t>Yes, but public enterprises are only included if they are market oriented.</t>
  </si>
  <si>
    <t>Yes, public enterprises, which are part of the CIS target population are included in the survey.</t>
  </si>
  <si>
    <t>Yes, it may include public and private firms as long as they are characterised as "Business Entities." This category includes for-profit businesses, such as Limited Liability Companies (Ltda.), Public Limited Liability Companies (S.A.), and Simple Pure Companies, which are differentiated by their legal structure, partner responsibilities, and registration method.</t>
  </si>
  <si>
    <t>Yes, provided that the enterprise is in one of the 14 NAICS 2017 industry groups, has a minimum of 20 employees with revenues of at least CAD 250,000.</t>
  </si>
  <si>
    <t>Yes, public non-financial corporations (S.11001) are included.</t>
  </si>
  <si>
    <t>Yes, all enterprises with economic activities in the target industries of the innovation survey are part of the target population, irrespective of ownership. The only exception is NACE sector 72. Here, public research organisations are excluded from the target population and are not surveyed. Firms with public ownership dominate in NACE sectors 36 and 37 and represent a significant share of all firms in the target population in these NACE sectors. Other NACE sectors with a higher share of public enterprises include NACE sectors 35 and 60.</t>
  </si>
  <si>
    <t>???</t>
  </si>
  <si>
    <t xml:space="preserve">Yes, municipal enterprises for water supply as an example.  </t>
  </si>
  <si>
    <t>No, section O, P, Q from NACE are excluded.</t>
  </si>
  <si>
    <t>Yes. Mostly local public utility companies that are controlled by municipalities, but operate at market prices.</t>
  </si>
  <si>
    <t>No, the data does not include public enterprises.</t>
  </si>
  <si>
    <t>Yes. Include public-controlled enterprises, that is enterprises owned or significantly controlled by the state or public authorities</t>
  </si>
  <si>
    <t>Yes, public enterprises which had the legal status of kabusiki-kaisha (stock company) (including former yūgen-kaisha (limited liability company)), gōmei-kaisha (general partnership company), gōshi-kaisha (limited (liability) partnership company), gōdō-kaisha (limited liability company), or sōgo-kaisha (mutual company) were covered.</t>
  </si>
  <si>
    <t>No.</t>
  </si>
  <si>
    <t>Yes, but only enterprises, not any other organisational forms.</t>
  </si>
  <si>
    <t>No. The scope only includes enterprises in the institutional sectors S11 and S12, which include non-financial enterprises and the financial sector, therefore, excluding public companies that are classified in the institutional sector S14.</t>
  </si>
  <si>
    <t>No, because lack of human and financial resources.</t>
  </si>
  <si>
    <t>Yes (5 enterprises under central government control and 3 under local government control).</t>
  </si>
  <si>
    <t>Yes, the survey scope includes public, regional and local government owned and controlled enterprises.</t>
  </si>
  <si>
    <t>Yes, public enterprises are also included if the enterprise meets the criteria of field of activity and size.</t>
  </si>
  <si>
    <t>Argentina</t>
  </si>
  <si>
    <t>Australia</t>
  </si>
  <si>
    <t>Austria</t>
  </si>
  <si>
    <t>Belgium</t>
  </si>
  <si>
    <t>Bulgaria</t>
  </si>
  <si>
    <t>Brazil</t>
  </si>
  <si>
    <t>Canada</t>
  </si>
  <si>
    <t>Switzerland</t>
  </si>
  <si>
    <t>Chile</t>
  </si>
  <si>
    <t>Czechia</t>
  </si>
  <si>
    <t>Germany</t>
  </si>
  <si>
    <t>Denmark</t>
  </si>
  <si>
    <t>Spain</t>
  </si>
  <si>
    <t>Estonia</t>
  </si>
  <si>
    <t>Finland</t>
  </si>
  <si>
    <t>France</t>
  </si>
  <si>
    <t>United Kingdom</t>
  </si>
  <si>
    <t>Greece</t>
  </si>
  <si>
    <t>Croatia</t>
  </si>
  <si>
    <t>Hungary</t>
  </si>
  <si>
    <t>Ireland</t>
  </si>
  <si>
    <t>Iceland</t>
  </si>
  <si>
    <t>Italy</t>
  </si>
  <si>
    <t>Japan</t>
  </si>
  <si>
    <t>Korea</t>
  </si>
  <si>
    <t>Lithuania</t>
  </si>
  <si>
    <t>Luxembourg</t>
  </si>
  <si>
    <t>Latvia</t>
  </si>
  <si>
    <t>Netherlands</t>
  </si>
  <si>
    <t>Poland</t>
  </si>
  <si>
    <t>Portugal</t>
  </si>
  <si>
    <t>Romania</t>
  </si>
  <si>
    <t>Slovak Republic</t>
  </si>
  <si>
    <t>Slovenia</t>
  </si>
  <si>
    <t>Sweden</t>
  </si>
  <si>
    <t>Turkiye</t>
  </si>
  <si>
    <t>South Africa</t>
  </si>
  <si>
    <t>Country</t>
  </si>
  <si>
    <t>Country code</t>
  </si>
  <si>
    <t>January 2023 to March 2023</t>
  </si>
  <si>
    <t>REFERENCE YEARS</t>
  </si>
  <si>
    <t>Source</t>
  </si>
  <si>
    <t>Reference Years</t>
  </si>
  <si>
    <t>Length reference period</t>
  </si>
  <si>
    <t>Business Characteristics Survey 2020-21 (BCS)</t>
  </si>
  <si>
    <t>2020-21 (financial year)</t>
  </si>
  <si>
    <t>Eurostat Community Innovation Survey 2020 and National Innovation Survey</t>
  </si>
  <si>
    <t>2018-20</t>
  </si>
  <si>
    <t>2019 Survey of Innovation and Business Strategy</t>
  </si>
  <si>
    <t>2017-19</t>
  </si>
  <si>
    <t>Survey on Innovation Activities in the Swiss economy</t>
  </si>
  <si>
    <t>Chilean Business Innovation Survey 2019-2020</t>
  </si>
  <si>
    <t>2019-20</t>
  </si>
  <si>
    <t>CYP</t>
  </si>
  <si>
    <t>Eurostat Community Innovation Survey 2020</t>
  </si>
  <si>
    <t>National Innovation Survey UKIS 2021</t>
  </si>
  <si>
    <t>IND</t>
  </si>
  <si>
    <t>National Manufacturing Innovation Survey (NMIS) 2021</t>
  </si>
  <si>
    <t>2019-2020 (financial years)</t>
  </si>
  <si>
    <t>Japanese National Innovation Survey 2022 (J-NIS 2022)</t>
  </si>
  <si>
    <t>2019-21</t>
  </si>
  <si>
    <t>Korean Innovation Survey (KIS) 2020 / 2021</t>
    <phoneticPr fontId="0" type="noConversion"/>
  </si>
  <si>
    <t xml:space="preserve">2017-19 / 2018-20 </t>
    <phoneticPr fontId="0" type="noConversion"/>
  </si>
  <si>
    <t>MLT</t>
  </si>
  <si>
    <t>NOR</t>
  </si>
  <si>
    <t>USA</t>
  </si>
  <si>
    <t>2020 Annual Business Survey</t>
  </si>
  <si>
    <t>More information on each of the data source can be found in this link.</t>
  </si>
  <si>
    <t>Business Characteristics Survey 2018-19 (BCS)</t>
  </si>
  <si>
    <t>2018-19 (fiscal year)</t>
  </si>
  <si>
    <t>Eurostat Community Innovation Survey 2018 and National Innovation Survey</t>
  </si>
  <si>
    <t>2016-18</t>
  </si>
  <si>
    <t xml:space="preserve">Brazilian Innovation Survey </t>
  </si>
  <si>
    <t>2015-17</t>
  </si>
  <si>
    <t>Chilean Business Innovation Survey 2017-2018</t>
  </si>
  <si>
    <t>2017-18</t>
  </si>
  <si>
    <t>CHN</t>
  </si>
  <si>
    <t xml:space="preserve">Chinese Innovation Survey </t>
  </si>
  <si>
    <t>Japanese National Innovation Survey 2020 (J-NIS 2020)</t>
  </si>
  <si>
    <t xml:space="preserve">Eurostat Community Innovation Survey 2016 </t>
  </si>
  <si>
    <t>2019 Annual Business Survey</t>
  </si>
  <si>
    <t>South African Business Innovation Survey</t>
  </si>
  <si>
    <t>2014-16</t>
  </si>
  <si>
    <t>..</t>
  </si>
  <si>
    <t>Questionnaire of the 2021 Innovation Indicators Survey in the Manufacturing, Energy and Telecommunications Sector / Questionnaire of the 2022 Innovation Indicators Survey in the Services Sector</t>
  </si>
  <si>
    <t>Ministry of Science, Innovation, Technology and Telecommunications</t>
  </si>
  <si>
    <t>2021 (Manufacturing) / 2022 (Services)</t>
  </si>
  <si>
    <t>https://www.micitt.go.cr/sites/default/files/2023-12/Presentaci%C3%B3n%20Indicadores_2022%20-%2012%20diciembre%202023_0.pdf</t>
  </si>
  <si>
    <t>Data are combined from two surveys: Manufacturing in 2021 and Services in 2022. Industry coverage is larger than the requested.</t>
  </si>
  <si>
    <t>December 2022 (Manufacturing) / December 2023 (Services)</t>
  </si>
  <si>
    <t>Industry coverage differs from CIS industry coverage.</t>
  </si>
  <si>
    <t>6 or more employees</t>
  </si>
  <si>
    <t>Manufacturing, Energy and Telecommunications (2021; ISIC C and E35) / Services (2022; ISIC I55-I56, J, K, M72, N79, Q86, R93.2)</t>
  </si>
  <si>
    <t>Active enterprises in Manufacturing, Energy and Telecommunications sector / Active enterprises in Service sector</t>
  </si>
  <si>
    <t>Face-to-face survey, by telephone call</t>
  </si>
  <si>
    <t>Around 60-90 minutes</t>
  </si>
  <si>
    <t>1890 (manufacturing)</t>
  </si>
  <si>
    <t>356 (manufacturing) / 318 (services)</t>
  </si>
  <si>
    <t>More than three times to get them to respond to the survey</t>
  </si>
  <si>
    <t>No, the survey includes only private sector enterprises.</t>
  </si>
  <si>
    <t>Costa Rica</t>
  </si>
  <si>
    <t>CRI</t>
  </si>
  <si>
    <t>Chinese Innovation Survey</t>
  </si>
  <si>
    <t>National Bureau of Statistics of China</t>
  </si>
  <si>
    <t>November, 2023</t>
  </si>
  <si>
    <t>In China, the term "services" is used in general, and the term "core services" is not used.
In 2005, enterprise innovation in China was classified into four categories: product innovation, organizational innovation, process innovation, and marketing innovation. Since 2018, this has been reclassified into two categories: product innovation and business process innovation. Therefore, according to the relevant standards in China, the "product innovation" referred to in this questionnaire roughly corresponds to the product innovation as defined by the OECD. However, the latter three categories (organizational innovation, process innovation, and marketing innovation) cannot be aligned.</t>
  </si>
  <si>
    <t xml:space="preserve">Using the classification method in the 3rd Oslo Manual </t>
  </si>
  <si>
    <t>The survey implements the national statistical classification standards and regulations. The overall scope of enterprises covered by the questionnaire refers to enterprises above the designated size. Industrial enterprises above the designated size refer to legal entities in the industrial sector with an annual main business revenue of 20 million yuan or more. Surveys of enterprises below the designated size in China are conducted through sampling and are not comprehensive. Therefore, they are not included in this questionnaire.
We use "above designated size" and "below designated size" as the types of enterprises' size. The data we have filled in is the data of enterprised above designated size. The survey of this kind of enterprises employed the census way.</t>
  </si>
  <si>
    <t>According to Industrial Classification for National Economic Activities of China (GB/T 4754—2017, the sectoral coverage includes Mining (B), Manufacturing (C), Production and Supply of Electricity, Heating, Gas and Water (D), Construction (E), Wholesale Trades (F), Transport, Storage and Post (G), Information Transmission, Software and Information Technology (I), Leasing and Business Services (L), Scientific Research and Technical Services (M), and Management of Water Conservancy, Environment and Public Facilities (N). The coverage excluded retail trades since 2024.</t>
  </si>
  <si>
    <t>Combined (census of enterprises above designated size, and sample survey of enterprises below designated size)</t>
  </si>
  <si>
    <t>Online survey</t>
  </si>
  <si>
    <t>By industry, region and enterprise size.</t>
  </si>
  <si>
    <t>Yes (Enterprise R&amp;D Survey)</t>
  </si>
  <si>
    <t>China</t>
  </si>
  <si>
    <t>March 2024</t>
  </si>
  <si>
    <t>30 June 2024</t>
  </si>
  <si>
    <t>12 August 2024 - Publication / 28 October 2024 - Online database</t>
  </si>
  <si>
    <t>Eurostat - 20 June 2024 ; At the national level - 31 August 2024</t>
  </si>
  <si>
    <t>Eurostat - by end of June 2026; At the national level - 31 August 2026</t>
  </si>
  <si>
    <t>19 October 2026 - Publication / 30 October 2026 - Online database</t>
  </si>
  <si>
    <t>30 October 2025 (news release, data for legal units)</t>
  </si>
  <si>
    <t>April 2026  (TBD)</t>
  </si>
  <si>
    <t>Legal unit with an enterprise number (i.e. VAT numbers) in the national business register</t>
  </si>
  <si>
    <t>Legal unit</t>
  </si>
  <si>
    <t>Enterprise unit</t>
  </si>
  <si>
    <t>Combined (census for enterprises with 250+ employees and sample survey for less than 249 employees)</t>
  </si>
  <si>
    <t>Sample survey (Stratified random sample)</t>
  </si>
  <si>
    <t>Combined (census for the enterprises of 250+ employees or enterprises with a turnover exceeding EUR 4 billion or enterprises whose R&amp;D expenditure exceeds EUR 50 million or enterprises with at least EUR 50 million in innovation expenditure; sample survey for the enterprises of less than 250 employees)</t>
  </si>
  <si>
    <t>Combined (sample of small enterprise (10-49 employees) and enterprises with 50-249 employees and 250 or more employees are covered by complete enumeration)</t>
  </si>
  <si>
    <t>Online (Web questionnaire)</t>
  </si>
  <si>
    <t>Online questionnaires</t>
  </si>
  <si>
    <t>129.1% (over target sample)</t>
  </si>
  <si>
    <t>25.4% (achieved sample as a share of sample net of not eligible units),
51.9% (achieved sample plus completed non-response questionnaires as a share of sample net of not eligible units)</t>
  </si>
  <si>
    <t>No (not necessary)</t>
  </si>
  <si>
    <t>United States</t>
  </si>
  <si>
    <t>Annual Business Survey (ABS)</t>
  </si>
  <si>
    <t>US Census Bureau; US National Science Foundation</t>
  </si>
  <si>
    <t>Not all “core” tabulation questions are covered.</t>
  </si>
  <si>
    <t>1 or more employees</t>
  </si>
  <si>
    <t>All domestic, non-farm, for-profit businesses.</t>
  </si>
  <si>
    <t>Enterprise group</t>
  </si>
  <si>
    <t>No separate estimate for response burden to complete just the innovation module, which is just one of several modules on the ABS</t>
  </si>
  <si>
    <t>Strata by number of employees and industry</t>
  </si>
  <si>
    <t>Strata are defined by NAICS, geography, and demographic frame. The sampling weights are determined according to the sample size desired in each sampling stratum.</t>
  </si>
  <si>
    <t>Three follow up mailings via the US Postal Service and email reminders when applicable</t>
  </si>
  <si>
    <t>There is very limited item non-response. In the 2023 ABS, there was no item non-response adjustment (so a missing answer to an innovation question is treated like a "No"). A weight adjustment is also used for unit non-response.</t>
  </si>
  <si>
    <t>There is very limited item non-response. In the initial (2018) ABS survey donor imputation was used for partial non-respondents to the R&amp;D, innovation, and technology questions. In subsequent survey cycles there was imputation or no item non-response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</si>
</sst>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name val="Calibri"/>
      <family val="2"/>
    </font>
    <font>
      <b/>
      <sz val="12"/>
      <color theme="0"/>
      <name val="Arial"/>
      <family val="2"/>
    </font>
    <font>
      <b/>
      <sz val="10"/>
      <color theme="1"/>
      <name val="Arial"/>
      <family val="2"/>
    </font>
    <font>
      <sz val="9"/>
      <color theme="1"/>
      <name val="Arial"/>
      <family val="2"/>
    </font>
    <font>
      <sz val="9"/>
      <name val="Arial"/>
      <family val="2"/>
    </font>
    <font>
      <u/>
      <sz val="11"/>
      <color theme="10"/>
      <name val="Aptos Narrow"/>
      <family val="2"/>
      <scheme val="minor"/>
    </font>
    <font>
      <sz val="11"/>
      <color theme="1"/>
      <name val="Arial"/>
      <family val="2"/>
    </font>
    <font>
      <sz val="11"/>
      <color theme="1"/>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4" tint="0.59999389629810485"/>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6" fillId="0" borderId="0" applyNumberFormat="0" applyFill="0" applyBorder="0" applyAlignment="0" applyProtection="0"/>
    <xf numFmtId="9" fontId="8" fillId="0" borderId="0" applyFont="0" applyFill="0" applyBorder="0" applyAlignment="0" applyProtection="0"/>
  </cellStyleXfs>
  <cellXfs count="58">
    <xf numFmtId="0" fontId="0" fillId="0" borderId="0" xfId="0"/>
    <xf numFmtId="0" fontId="0" fillId="0" borderId="0" xfId="0" applyAlignment="1">
      <alignment horizontal="left" vertical="top"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5" fillId="0" borderId="4" xfId="1" applyFont="1" applyBorder="1"/>
    <xf numFmtId="0" fontId="5" fillId="0" borderId="0" xfId="1" applyFont="1"/>
    <xf numFmtId="0" fontId="5" fillId="0" borderId="5" xfId="1" applyFont="1" applyBorder="1" applyAlignment="1">
      <alignment horizontal="center"/>
    </xf>
    <xf numFmtId="0" fontId="5" fillId="0" borderId="9" xfId="1" applyFont="1" applyBorder="1"/>
    <xf numFmtId="0" fontId="5" fillId="0" borderId="10" xfId="1" applyFont="1" applyBorder="1"/>
    <xf numFmtId="0" fontId="5" fillId="0" borderId="11" xfId="1" applyFont="1" applyBorder="1" applyAlignment="1">
      <alignment horizontal="center"/>
    </xf>
    <xf numFmtId="0" fontId="5" fillId="0" borderId="12" xfId="1" applyFont="1" applyBorder="1"/>
    <xf numFmtId="0" fontId="5" fillId="0" borderId="13" xfId="1" applyFont="1" applyBorder="1" applyAlignment="1">
      <alignment horizontal="center"/>
    </xf>
    <xf numFmtId="0" fontId="5" fillId="0" borderId="14" xfId="1" applyFont="1" applyBorder="1"/>
    <xf numFmtId="0" fontId="5" fillId="0" borderId="15" xfId="1" applyFont="1" applyBorder="1"/>
    <xf numFmtId="0" fontId="5" fillId="0" borderId="16" xfId="1" applyFont="1" applyBorder="1"/>
    <xf numFmtId="0" fontId="5" fillId="0" borderId="16" xfId="1" applyFont="1" applyBorder="1" applyAlignment="1">
      <alignment horizontal="left"/>
    </xf>
    <xf numFmtId="0" fontId="5" fillId="0" borderId="17" xfId="1" applyFont="1" applyBorder="1" applyAlignment="1">
      <alignment horizontal="center"/>
    </xf>
    <xf numFmtId="0" fontId="6" fillId="0" borderId="0" xfId="2"/>
    <xf numFmtId="0" fontId="2" fillId="0" borderId="0" xfId="0" applyFont="1" applyAlignment="1">
      <alignment horizontal="center"/>
    </xf>
    <xf numFmtId="0" fontId="3" fillId="0" borderId="0" xfId="0" applyFont="1" applyAlignment="1">
      <alignment horizont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center" vertical="center" wrapText="1"/>
    </xf>
    <xf numFmtId="0" fontId="5" fillId="0" borderId="4" xfId="0" applyFont="1" applyBorder="1"/>
    <xf numFmtId="0" fontId="5" fillId="0" borderId="0" xfId="0" applyFont="1"/>
    <xf numFmtId="0" fontId="5" fillId="0" borderId="5" xfId="0" applyFont="1" applyBorder="1" applyAlignment="1">
      <alignment horizontal="center"/>
    </xf>
    <xf numFmtId="0" fontId="5" fillId="0" borderId="0" xfId="0" applyFont="1" applyAlignment="1">
      <alignment horizontal="center"/>
    </xf>
    <xf numFmtId="0" fontId="5" fillId="0" borderId="9" xfId="0" applyFont="1" applyBorder="1"/>
    <xf numFmtId="0" fontId="5" fillId="0" borderId="10" xfId="0" applyFont="1" applyBorder="1"/>
    <xf numFmtId="0" fontId="5" fillId="0" borderId="11" xfId="0" applyFont="1" applyBorder="1" applyAlignment="1">
      <alignment horizontal="center"/>
    </xf>
    <xf numFmtId="0" fontId="5" fillId="0" borderId="12" xfId="0" applyFont="1" applyBorder="1"/>
    <xf numFmtId="0" fontId="5" fillId="0" borderId="13" xfId="0" applyFont="1" applyBorder="1" applyAlignment="1">
      <alignment horizontal="center"/>
    </xf>
    <xf numFmtId="0" fontId="5" fillId="0" borderId="14" xfId="0" applyFont="1" applyBorder="1"/>
    <xf numFmtId="0" fontId="5" fillId="0" borderId="10" xfId="0" applyFont="1" applyBorder="1" applyAlignment="1">
      <alignment horizontal="left"/>
    </xf>
    <xf numFmtId="0" fontId="5" fillId="0" borderId="18" xfId="0" applyFont="1" applyBorder="1"/>
    <xf numFmtId="0" fontId="5" fillId="0" borderId="19" xfId="0" applyFont="1" applyBorder="1"/>
    <xf numFmtId="0" fontId="5" fillId="0" borderId="16" xfId="0" applyFont="1" applyBorder="1"/>
    <xf numFmtId="0" fontId="5" fillId="0" borderId="20" xfId="0" applyFont="1" applyBorder="1" applyAlignment="1">
      <alignment horizontal="center"/>
    </xf>
    <xf numFmtId="0" fontId="7" fillId="0" borderId="0" xfId="0" applyFont="1" applyAlignment="1">
      <alignment horizontal="left" vertical="top" wrapText="1"/>
    </xf>
    <xf numFmtId="0" fontId="7" fillId="0" borderId="0" xfId="0" quotePrefix="1" applyFont="1" applyAlignment="1">
      <alignment horizontal="left" vertical="top" wrapText="1"/>
    </xf>
    <xf numFmtId="10" fontId="7" fillId="0" borderId="0" xfId="0" applyNumberFormat="1" applyFont="1" applyAlignment="1">
      <alignment horizontal="left" vertical="top" wrapText="1"/>
    </xf>
    <xf numFmtId="9" fontId="7" fillId="0" borderId="0" xfId="0" applyNumberFormat="1" applyFont="1" applyAlignment="1">
      <alignment horizontal="left" vertical="top" wrapText="1"/>
    </xf>
    <xf numFmtId="9" fontId="7" fillId="0" borderId="0" xfId="3" applyFont="1" applyAlignment="1">
      <alignment horizontal="left" vertical="top" wrapText="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3" borderId="4" xfId="0" applyFont="1" applyFill="1" applyBorder="1" applyAlignment="1">
      <alignment horizontal="center"/>
    </xf>
    <xf numFmtId="0" fontId="3" fillId="3" borderId="0" xfId="0" applyFont="1" applyFill="1" applyAlignment="1">
      <alignment horizontal="center"/>
    </xf>
    <xf numFmtId="0" fontId="3" fillId="3" borderId="5" xfId="0" applyFont="1" applyFill="1" applyBorder="1" applyAlignment="1">
      <alignment horizontal="center"/>
    </xf>
    <xf numFmtId="0" fontId="2" fillId="2" borderId="1" xfId="1" applyFont="1" applyFill="1" applyBorder="1" applyAlignment="1">
      <alignment horizontal="center"/>
    </xf>
    <xf numFmtId="0" fontId="2" fillId="2" borderId="2" xfId="1" applyFont="1" applyFill="1" applyBorder="1" applyAlignment="1">
      <alignment horizontal="center"/>
    </xf>
    <xf numFmtId="0" fontId="2" fillId="2" borderId="3" xfId="1" applyFont="1" applyFill="1" applyBorder="1" applyAlignment="1">
      <alignment horizontal="center"/>
    </xf>
    <xf numFmtId="0" fontId="3" fillId="3" borderId="4" xfId="1" applyFont="1" applyFill="1" applyBorder="1" applyAlignment="1">
      <alignment horizontal="center"/>
    </xf>
    <xf numFmtId="0" fontId="3" fillId="3" borderId="0" xfId="1" applyFont="1" applyFill="1" applyAlignment="1">
      <alignment horizontal="center"/>
    </xf>
    <xf numFmtId="0" fontId="3" fillId="3" borderId="5" xfId="1" applyFont="1" applyFill="1" applyBorder="1" applyAlignment="1">
      <alignment horizontal="center"/>
    </xf>
    <xf numFmtId="0" fontId="0" fillId="0" borderId="0" xfId="0" applyAlignment="1">
      <alignment horizontal="left" vertical="top"/>
    </xf>
  </cellXfs>
  <cellStyles count="4">
    <cellStyle name="Hyperlink" xfId="2" builtinId="8"/>
    <cellStyle name="Normal" xfId="0" builtinId="0"/>
    <cellStyle name="Normal 2" xfId="1" xr:uid="{ED2C654A-CE7A-459F-ABDA-B918FEA8B4CC}"/>
    <cellStyle name="Percent" xfId="3" builtinId="5"/>
  </cellStyles>
  <dxfs count="41">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
      <font>
        <strike val="0"/>
        <outline val="0"/>
        <shadow val="0"/>
        <u val="none"/>
        <vertAlign val="baseline"/>
        <sz val="11"/>
        <color theme="1"/>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D93F52-67CD-4902-B432-F4DF2FCDA292}" name="Table1" displayName="Table1" ref="A1:AM41" totalsRowShown="0" headerRowDxfId="40" dataDxfId="39">
  <autoFilter ref="A1:AM41" xr:uid="{FED93F52-67CD-4902-B432-F4DF2FCDA292}"/>
  <sortState xmlns:xlrd2="http://schemas.microsoft.com/office/spreadsheetml/2017/richdata2" ref="A2:AM40">
    <sortCondition ref="A2:A40"/>
  </sortState>
  <tableColumns count="39">
    <tableColumn id="1" xr3:uid="{7A2D5954-7B43-4242-860B-7C88ECA1F169}" name="Country" dataDxfId="38"/>
    <tableColumn id="2" xr3:uid="{5CD61C33-8E19-4FD8-8BF1-78C78ED0B74B}" name="Country code" dataDxfId="37"/>
    <tableColumn id="3" xr3:uid="{0DED6B2C-D3B6-433B-8FF9-D28F6A482C48}" name="Name of survey" dataDxfId="36"/>
    <tableColumn id="4" xr3:uid="{0AD3FF79-9F71-4E16-9B8A-295F5DDAF550}" name="Name of responsible agency" dataDxfId="35"/>
    <tableColumn id="5" xr3:uid="{C0E12716-3BB1-47C1-A8AE-64BA9ABE183F}" name="Reference period" dataDxfId="34"/>
    <tableColumn id="6" xr3:uid="{DBC3DF8B-6E86-4016-82C4-7BD5AF84E7F0}" name="Length of reference period" dataDxfId="33"/>
    <tableColumn id="7" xr3:uid="{DF4DE14F-C1C5-4A21-B602-FC5EB98315EE}" name="Reference year" dataDxfId="32"/>
    <tableColumn id="8" xr3:uid="{BB31266A-434A-48CE-85BC-946D92DD0D60}" name="Data collection period" dataDxfId="31"/>
    <tableColumn id="9" xr3:uid="{CD0459F6-8045-4161-92CB-EE8FD2E0677B}" name="First release of innovation results" dataDxfId="30"/>
    <tableColumn id="10" xr3:uid="{EFFD6EA9-EEEA-464B-B873-07619B0956D2}" name="URL link to documentation (outputs and questionnaire)" dataDxfId="29"/>
    <tableColumn id="11" xr3:uid="{D2522E51-705A-4DCA-8227-0E15B3A9DAD7}" name="Concepts, notes and definitions in the questionnaire (differences from the requested, e.g. deviations from ISIC rev 4)" dataDxfId="28"/>
    <tableColumn id="12" xr3:uid="{5D911E35-0E53-4273-A3EF-CA382EB610D0}" name="Release date" dataDxfId="27"/>
    <tableColumn id="13" xr3:uid="{C5D804BC-03A9-45A4-AB92-84BD41EC71BD}" name="Next survey release: date" dataDxfId="26"/>
    <tableColumn id="14" xr3:uid="{D0A0D262-0588-47C5-A3CB-354BDFBFEAD3}" name="Next survey release: reference period" dataDxfId="25"/>
    <tableColumn id="15" xr3:uid="{B7751C41-2703-4922-8A28-28DFFCAC6FFA}" name="Differences with the Oslo Manual" dataDxfId="24"/>
    <tableColumn id="16" xr3:uid="{56E9532F-C0BB-44BF-B74A-47D42C005000}" name="Difference with the CIS questionnaire (if applicable)" dataDxfId="23"/>
    <tableColumn id="17" xr3:uid="{BCB7E52D-6F78-4EA2-BA6D-420A57F40C41}" name="Target population cut-off point" dataDxfId="22"/>
    <tableColumn id="18" xr3:uid="{2DF4E2E2-18BE-4CE1-BDB9-330C5EA4A2E7}" name="Industry coverage" dataDxfId="21"/>
    <tableColumn id="19" xr3:uid="{0BB0648D-6950-40C9-9704-62AE4C91614A}" name="Sampling frame used" dataDxfId="20"/>
    <tableColumn id="20" xr3:uid="{53DC33CB-522B-44AD-9573-A34E3335671F}" name="Completion requirement" dataDxfId="19"/>
    <tableColumn id="21" xr3:uid="{D39C2768-86F2-41AC-88C4-39E01A3AB3F1}" name="Unit of analysis surveyed" dataDxfId="18"/>
    <tableColumn id="22" xr3:uid="{C3843E01-5CA7-4F66-BC45-0329CD0F4C6B}" name="Survey type" dataDxfId="17"/>
    <tableColumn id="23" xr3:uid="{8705F450-97C5-42A5-8708-FC795F189F44}" name="Type of interviews" dataDxfId="16"/>
    <tableColumn id="24" xr3:uid="{A7576F2E-4270-450A-8DE2-11B79BD737CB}" name="Average time to complete the questionnaire" dataDxfId="15"/>
    <tableColumn id="25" xr3:uid="{FEA8AEE1-D0FA-4F51-B50A-0B981A4D82AF}" name="Target population " dataDxfId="14"/>
    <tableColumn id="26" xr3:uid="{4A9B7E79-30CE-4D51-9429-633F98C537DE}" name="Target population (manufacturing)" dataDxfId="13"/>
    <tableColumn id="27" xr3:uid="{74EC52B1-F048-4E7F-99BC-D0DF0A08D7C0}" name="Target population (services)" dataDxfId="12"/>
    <tableColumn id="28" xr3:uid="{4BF3272A-F68E-4023-82F0-9ED26F5F5270}" name="Achieved sample - responses received from the sample population" dataDxfId="11"/>
    <tableColumn id="29" xr3:uid="{40874969-3BC5-473A-BEA6-595C13B9124B}" name="Achieved sample (manufacturing) - responses received from the sample population" dataDxfId="10"/>
    <tableColumn id="30" xr3:uid="{6BEBF42C-B4AF-485D-80D7-F556BA20A532}" name="Achieved sample (services) - responses received from the sample population" dataDxfId="9"/>
    <tableColumn id="31" xr3:uid="{67A1CE86-DE63-4054-9AEE-CC4AFEBCE66B}" name="Weighted unit response rate" dataDxfId="8"/>
    <tableColumn id="32" xr3:uid="{138C772E-1553-46AB-B59D-C891B03F51C7}" name="Unweighted unit response rate" dataDxfId="7"/>
    <tableColumn id="33" xr3:uid="{FD82893C-BFAB-400B-9A89-A2EC1608148B}" name="Definition of strata" dataDxfId="6"/>
    <tableColumn id="34" xr3:uid="{D3A873D4-F959-4CF5-9E59-3A684E52BC04}" name="Weights calculation methods: variables used and methodology" dataDxfId="5"/>
    <tableColumn id="35" xr3:uid="{C22D5C84-DC99-4C9F-A1BC-F8B9E5E2D7F2}" name="Implementation of non-response survey" dataDxfId="4"/>
    <tableColumn id="36" xr3:uid="{B0FDC326-A99D-4F98-B3B9-8E501B7059E9}" name="Number and types of reminders" dataDxfId="3"/>
    <tableColumn id="37" xr3:uid="{0647F766-8309-4C30-8646-29AABF99CE4C}" name="Use of imputation methods" dataDxfId="2"/>
    <tableColumn id="38" xr3:uid="{FD49FF9D-0169-4101-87B2-716848709B53}" name="Combined with other surveys" dataDxfId="1"/>
    <tableColumn id="39" xr3:uid="{5406973D-8980-48B7-8283-579DF449AA21}" name="Survey scope includes public enterprises (i.e. central, regional or local government-controlled)  (Yes/no, then please explai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BBA4-C312-4EA6-9C5B-721D6A5B392E}">
  <dimension ref="B1:F39"/>
  <sheetViews>
    <sheetView workbookViewId="0"/>
  </sheetViews>
  <sheetFormatPr defaultRowHeight="15" x14ac:dyDescent="0.25"/>
  <cols>
    <col min="1" max="1" width="2.140625" customWidth="1"/>
    <col min="2" max="2" width="13.42578125" customWidth="1"/>
    <col min="3" max="3" width="61.5703125" bestFit="1" customWidth="1"/>
    <col min="4" max="4" width="20.7109375" bestFit="1" customWidth="1"/>
  </cols>
  <sheetData>
    <row r="1" spans="2:6" ht="15.75" x14ac:dyDescent="0.25">
      <c r="B1" s="45" t="s">
        <v>766</v>
      </c>
      <c r="C1" s="46"/>
      <c r="D1" s="46"/>
      <c r="E1" s="47"/>
      <c r="F1" s="19"/>
    </row>
    <row r="2" spans="2:6" x14ac:dyDescent="0.25">
      <c r="B2" s="48"/>
      <c r="C2" s="49"/>
      <c r="D2" s="49"/>
      <c r="E2" s="50"/>
      <c r="F2" s="20"/>
    </row>
    <row r="3" spans="2:6" ht="36.75" thickBot="1" x14ac:dyDescent="0.3">
      <c r="B3" s="21" t="s">
        <v>763</v>
      </c>
      <c r="C3" s="22" t="s">
        <v>767</v>
      </c>
      <c r="D3" s="22" t="s">
        <v>768</v>
      </c>
      <c r="E3" s="23" t="s">
        <v>769</v>
      </c>
      <c r="F3" s="24"/>
    </row>
    <row r="4" spans="2:6" x14ac:dyDescent="0.25">
      <c r="B4" s="25" t="s">
        <v>1</v>
      </c>
      <c r="C4" s="26" t="s">
        <v>794</v>
      </c>
      <c r="D4" s="26" t="s">
        <v>795</v>
      </c>
      <c r="E4" s="27">
        <v>1</v>
      </c>
      <c r="F4" s="28"/>
    </row>
    <row r="5" spans="2:6" x14ac:dyDescent="0.25">
      <c r="B5" s="29" t="s">
        <v>2</v>
      </c>
      <c r="C5" s="30" t="s">
        <v>796</v>
      </c>
      <c r="D5" s="30" t="s">
        <v>797</v>
      </c>
      <c r="E5" s="31">
        <v>3</v>
      </c>
      <c r="F5" s="28"/>
    </row>
    <row r="6" spans="2:6" x14ac:dyDescent="0.25">
      <c r="B6" s="32" t="s">
        <v>3</v>
      </c>
      <c r="C6" s="30" t="s">
        <v>796</v>
      </c>
      <c r="D6" s="30" t="s">
        <v>797</v>
      </c>
      <c r="E6" s="33">
        <v>3</v>
      </c>
      <c r="F6" s="28"/>
    </row>
    <row r="7" spans="2:6" x14ac:dyDescent="0.25">
      <c r="B7" s="32" t="s">
        <v>5</v>
      </c>
      <c r="C7" s="30" t="s">
        <v>798</v>
      </c>
      <c r="D7" s="30" t="s">
        <v>799</v>
      </c>
      <c r="E7" s="33">
        <v>3</v>
      </c>
      <c r="F7" s="28"/>
    </row>
    <row r="8" spans="2:6" x14ac:dyDescent="0.25">
      <c r="B8" s="32" t="s">
        <v>7</v>
      </c>
      <c r="C8" s="34" t="s">
        <v>776</v>
      </c>
      <c r="D8" s="30" t="s">
        <v>797</v>
      </c>
      <c r="E8" s="33">
        <v>3</v>
      </c>
      <c r="F8" s="28"/>
    </row>
    <row r="9" spans="2:6" x14ac:dyDescent="0.25">
      <c r="B9" s="32" t="s">
        <v>8</v>
      </c>
      <c r="C9" s="34" t="s">
        <v>800</v>
      </c>
      <c r="D9" s="30" t="s">
        <v>801</v>
      </c>
      <c r="E9" s="33">
        <v>2</v>
      </c>
      <c r="F9" s="28"/>
    </row>
    <row r="10" spans="2:6" x14ac:dyDescent="0.25">
      <c r="B10" s="32" t="s">
        <v>802</v>
      </c>
      <c r="C10" s="34" t="s">
        <v>803</v>
      </c>
      <c r="D10" s="35">
        <v>2018</v>
      </c>
      <c r="E10" s="33">
        <v>1</v>
      </c>
      <c r="F10" s="28"/>
    </row>
    <row r="11" spans="2:6" x14ac:dyDescent="0.25">
      <c r="B11" s="32" t="s">
        <v>9</v>
      </c>
      <c r="C11" s="30" t="s">
        <v>796</v>
      </c>
      <c r="D11" s="30" t="s">
        <v>797</v>
      </c>
      <c r="E11" s="33">
        <v>3</v>
      </c>
      <c r="F11" s="28"/>
    </row>
    <row r="12" spans="2:6" x14ac:dyDescent="0.25">
      <c r="B12" s="32" t="s">
        <v>10</v>
      </c>
      <c r="C12" s="30" t="s">
        <v>796</v>
      </c>
      <c r="D12" s="30" t="s">
        <v>797</v>
      </c>
      <c r="E12" s="33">
        <v>3</v>
      </c>
      <c r="F12" s="28"/>
    </row>
    <row r="13" spans="2:6" x14ac:dyDescent="0.25">
      <c r="B13" s="32" t="s">
        <v>11</v>
      </c>
      <c r="C13" s="30" t="s">
        <v>796</v>
      </c>
      <c r="D13" s="30" t="s">
        <v>797</v>
      </c>
      <c r="E13" s="33">
        <v>3</v>
      </c>
      <c r="F13" s="28"/>
    </row>
    <row r="14" spans="2:6" x14ac:dyDescent="0.25">
      <c r="B14" s="32" t="s">
        <v>12</v>
      </c>
      <c r="C14" s="30" t="s">
        <v>796</v>
      </c>
      <c r="D14" s="30" t="s">
        <v>797</v>
      </c>
      <c r="E14" s="33">
        <v>3</v>
      </c>
      <c r="F14" s="28"/>
    </row>
    <row r="15" spans="2:6" x14ac:dyDescent="0.25">
      <c r="B15" s="32" t="s">
        <v>13</v>
      </c>
      <c r="C15" s="30" t="s">
        <v>796</v>
      </c>
      <c r="D15" s="30" t="s">
        <v>797</v>
      </c>
      <c r="E15" s="33">
        <v>3</v>
      </c>
      <c r="F15" s="28"/>
    </row>
    <row r="16" spans="2:6" x14ac:dyDescent="0.25">
      <c r="B16" s="32" t="s">
        <v>14</v>
      </c>
      <c r="C16" s="30" t="s">
        <v>796</v>
      </c>
      <c r="D16" s="30" t="s">
        <v>797</v>
      </c>
      <c r="E16" s="33">
        <v>3</v>
      </c>
      <c r="F16" s="28"/>
    </row>
    <row r="17" spans="2:6" x14ac:dyDescent="0.25">
      <c r="B17" s="32" t="s">
        <v>15</v>
      </c>
      <c r="C17" s="30" t="s">
        <v>796</v>
      </c>
      <c r="D17" s="30" t="s">
        <v>797</v>
      </c>
      <c r="E17" s="33">
        <v>3</v>
      </c>
      <c r="F17" s="28"/>
    </row>
    <row r="18" spans="2:6" x14ac:dyDescent="0.25">
      <c r="B18" s="32" t="s">
        <v>16</v>
      </c>
      <c r="C18" s="30" t="s">
        <v>796</v>
      </c>
      <c r="D18" s="30" t="s">
        <v>797</v>
      </c>
      <c r="E18" s="33">
        <v>3</v>
      </c>
      <c r="F18" s="28"/>
    </row>
    <row r="19" spans="2:6" x14ac:dyDescent="0.25">
      <c r="B19" s="32" t="s">
        <v>17</v>
      </c>
      <c r="C19" s="30" t="s">
        <v>796</v>
      </c>
      <c r="D19" s="30" t="s">
        <v>797</v>
      </c>
      <c r="E19" s="33">
        <v>3</v>
      </c>
      <c r="F19" s="28"/>
    </row>
    <row r="20" spans="2:6" x14ac:dyDescent="0.25">
      <c r="B20" s="32" t="s">
        <v>19</v>
      </c>
      <c r="C20" s="30" t="s">
        <v>796</v>
      </c>
      <c r="D20" s="30" t="s">
        <v>797</v>
      </c>
      <c r="E20" s="33">
        <v>3</v>
      </c>
      <c r="F20" s="28"/>
    </row>
    <row r="21" spans="2:6" x14ac:dyDescent="0.25">
      <c r="B21" s="32" t="s">
        <v>20</v>
      </c>
      <c r="C21" s="30" t="s">
        <v>796</v>
      </c>
      <c r="D21" s="30" t="s">
        <v>797</v>
      </c>
      <c r="E21" s="33">
        <v>3</v>
      </c>
      <c r="F21" s="28"/>
    </row>
    <row r="22" spans="2:6" x14ac:dyDescent="0.25">
      <c r="B22" s="32" t="s">
        <v>21</v>
      </c>
      <c r="C22" s="30" t="s">
        <v>796</v>
      </c>
      <c r="D22" s="30" t="s">
        <v>797</v>
      </c>
      <c r="E22" s="33">
        <v>3</v>
      </c>
      <c r="F22" s="28"/>
    </row>
    <row r="23" spans="2:6" x14ac:dyDescent="0.25">
      <c r="B23" s="32" t="s">
        <v>22</v>
      </c>
      <c r="C23" s="30" t="s">
        <v>796</v>
      </c>
      <c r="D23" s="30" t="s">
        <v>797</v>
      </c>
      <c r="E23" s="33">
        <v>3</v>
      </c>
      <c r="F23" s="28"/>
    </row>
    <row r="24" spans="2:6" x14ac:dyDescent="0.25">
      <c r="B24" s="32" t="s">
        <v>23</v>
      </c>
      <c r="C24" s="34" t="s">
        <v>804</v>
      </c>
      <c r="D24" s="30" t="s">
        <v>775</v>
      </c>
      <c r="E24" s="33">
        <v>3</v>
      </c>
      <c r="F24" s="28"/>
    </row>
    <row r="25" spans="2:6" x14ac:dyDescent="0.25">
      <c r="B25" s="32" t="s">
        <v>25</v>
      </c>
      <c r="C25" s="30" t="s">
        <v>796</v>
      </c>
      <c r="D25" s="30" t="s">
        <v>797</v>
      </c>
      <c r="E25" s="33">
        <v>3</v>
      </c>
      <c r="F25" s="28"/>
    </row>
    <row r="26" spans="2:6" x14ac:dyDescent="0.25">
      <c r="B26" s="32" t="s">
        <v>26</v>
      </c>
      <c r="C26" s="34" t="s">
        <v>805</v>
      </c>
      <c r="D26" s="30" t="s">
        <v>797</v>
      </c>
      <c r="E26" s="33">
        <v>3</v>
      </c>
      <c r="F26" s="28"/>
    </row>
    <row r="27" spans="2:6" x14ac:dyDescent="0.25">
      <c r="B27" s="32" t="s">
        <v>27</v>
      </c>
      <c r="C27" s="30" t="s">
        <v>796</v>
      </c>
      <c r="D27" s="30" t="s">
        <v>797</v>
      </c>
      <c r="E27" s="33">
        <v>3</v>
      </c>
      <c r="F27" s="28"/>
    </row>
    <row r="28" spans="2:6" x14ac:dyDescent="0.25">
      <c r="B28" s="32" t="s">
        <v>28</v>
      </c>
      <c r="C28" s="30" t="s">
        <v>796</v>
      </c>
      <c r="D28" s="30" t="s">
        <v>797</v>
      </c>
      <c r="E28" s="33">
        <v>3</v>
      </c>
      <c r="F28" s="28"/>
    </row>
    <row r="29" spans="2:6" x14ac:dyDescent="0.25">
      <c r="B29" s="32" t="s">
        <v>790</v>
      </c>
      <c r="C29" s="30" t="s">
        <v>796</v>
      </c>
      <c r="D29" s="30" t="s">
        <v>797</v>
      </c>
      <c r="E29" s="33">
        <v>3</v>
      </c>
      <c r="F29" s="28"/>
    </row>
    <row r="30" spans="2:6" x14ac:dyDescent="0.25">
      <c r="B30" s="32" t="s">
        <v>29</v>
      </c>
      <c r="C30" s="30" t="s">
        <v>796</v>
      </c>
      <c r="D30" s="30" t="s">
        <v>797</v>
      </c>
      <c r="E30" s="33">
        <v>3</v>
      </c>
      <c r="F30" s="28"/>
    </row>
    <row r="31" spans="2:6" x14ac:dyDescent="0.25">
      <c r="B31" s="32" t="s">
        <v>30</v>
      </c>
      <c r="C31" s="30" t="s">
        <v>796</v>
      </c>
      <c r="D31" s="30" t="s">
        <v>797</v>
      </c>
      <c r="E31" s="33">
        <v>3</v>
      </c>
      <c r="F31" s="28"/>
    </row>
    <row r="32" spans="2:6" x14ac:dyDescent="0.25">
      <c r="B32" s="32" t="s">
        <v>32</v>
      </c>
      <c r="C32" s="30" t="s">
        <v>796</v>
      </c>
      <c r="D32" s="30" t="s">
        <v>797</v>
      </c>
      <c r="E32" s="33">
        <v>3</v>
      </c>
      <c r="F32" s="28"/>
    </row>
    <row r="33" spans="2:6" x14ac:dyDescent="0.25">
      <c r="B33" s="32" t="s">
        <v>33</v>
      </c>
      <c r="C33" s="30" t="s">
        <v>796</v>
      </c>
      <c r="D33" s="30" t="s">
        <v>797</v>
      </c>
      <c r="E33" s="33">
        <v>3</v>
      </c>
      <c r="F33" s="28"/>
    </row>
    <row r="34" spans="2:6" x14ac:dyDescent="0.25">
      <c r="B34" s="32" t="s">
        <v>34</v>
      </c>
      <c r="C34" s="30" t="s">
        <v>796</v>
      </c>
      <c r="D34" s="30" t="s">
        <v>797</v>
      </c>
      <c r="E34" s="33">
        <v>3</v>
      </c>
      <c r="F34" s="28"/>
    </row>
    <row r="35" spans="2:6" x14ac:dyDescent="0.25">
      <c r="B35" s="32" t="s">
        <v>35</v>
      </c>
      <c r="C35" s="30" t="s">
        <v>796</v>
      </c>
      <c r="D35" s="30" t="s">
        <v>797</v>
      </c>
      <c r="E35" s="33">
        <v>3</v>
      </c>
      <c r="F35" s="28"/>
    </row>
    <row r="36" spans="2:6" x14ac:dyDescent="0.25">
      <c r="B36" s="32" t="s">
        <v>791</v>
      </c>
      <c r="C36" s="34" t="s">
        <v>806</v>
      </c>
      <c r="D36" s="35" t="s">
        <v>797</v>
      </c>
      <c r="E36" s="33">
        <v>3</v>
      </c>
      <c r="F36" s="28"/>
    </row>
    <row r="37" spans="2:6" x14ac:dyDescent="0.25">
      <c r="B37" s="36" t="s">
        <v>36</v>
      </c>
      <c r="C37" s="37" t="s">
        <v>807</v>
      </c>
      <c r="D37" s="38" t="s">
        <v>808</v>
      </c>
      <c r="E37" s="39">
        <v>3</v>
      </c>
      <c r="F37" s="28"/>
    </row>
    <row r="39" spans="2:6" x14ac:dyDescent="0.25">
      <c r="B39" s="6" t="s">
        <v>793</v>
      </c>
      <c r="D39" s="18" t="str">
        <f>HYPERLINK("https://stats.oecd.org/wbos/fileview2.aspx?IDFile=253b7b6d-50d7-4aa9-a1ce-679dbdedff52","Click here")</f>
        <v>Click here</v>
      </c>
    </row>
  </sheetData>
  <mergeCells count="2">
    <mergeCell ref="B1:E1"/>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476E-3974-4ECE-BDED-94A8EF19204F}">
  <dimension ref="B1:E44"/>
  <sheetViews>
    <sheetView workbookViewId="0"/>
  </sheetViews>
  <sheetFormatPr defaultRowHeight="15" x14ac:dyDescent="0.25"/>
  <cols>
    <col min="1" max="1" width="1.85546875" customWidth="1"/>
    <col min="2" max="2" width="13.42578125" customWidth="1"/>
    <col min="3" max="3" width="61.5703125" bestFit="1" customWidth="1"/>
    <col min="4" max="4" width="20.7109375" bestFit="1" customWidth="1"/>
  </cols>
  <sheetData>
    <row r="1" spans="2:5" ht="15.75" x14ac:dyDescent="0.25">
      <c r="B1" s="51" t="s">
        <v>766</v>
      </c>
      <c r="C1" s="52"/>
      <c r="D1" s="52"/>
      <c r="E1" s="53"/>
    </row>
    <row r="2" spans="2:5" x14ac:dyDescent="0.25">
      <c r="B2" s="54"/>
      <c r="C2" s="55"/>
      <c r="D2" s="55"/>
      <c r="E2" s="56"/>
    </row>
    <row r="3" spans="2:5" ht="36.75" thickBot="1" x14ac:dyDescent="0.3">
      <c r="B3" s="2" t="s">
        <v>763</v>
      </c>
      <c r="C3" s="3" t="s">
        <v>767</v>
      </c>
      <c r="D3" s="3" t="s">
        <v>768</v>
      </c>
      <c r="E3" s="4" t="s">
        <v>769</v>
      </c>
    </row>
    <row r="4" spans="2:5" x14ac:dyDescent="0.25">
      <c r="B4" s="5" t="s">
        <v>1</v>
      </c>
      <c r="C4" s="6" t="s">
        <v>770</v>
      </c>
      <c r="D4" s="6" t="s">
        <v>771</v>
      </c>
      <c r="E4" s="7">
        <v>2</v>
      </c>
    </row>
    <row r="5" spans="2:5" x14ac:dyDescent="0.25">
      <c r="B5" s="8" t="s">
        <v>2</v>
      </c>
      <c r="C5" s="9" t="s">
        <v>772</v>
      </c>
      <c r="D5" s="9" t="s">
        <v>773</v>
      </c>
      <c r="E5" s="10">
        <v>3</v>
      </c>
    </row>
    <row r="6" spans="2:5" x14ac:dyDescent="0.25">
      <c r="B6" s="11" t="s">
        <v>3</v>
      </c>
      <c r="C6" s="9" t="s">
        <v>772</v>
      </c>
      <c r="D6" s="9" t="s">
        <v>773</v>
      </c>
      <c r="E6" s="10">
        <v>3</v>
      </c>
    </row>
    <row r="7" spans="2:5" x14ac:dyDescent="0.25">
      <c r="B7" s="11" t="s">
        <v>4</v>
      </c>
      <c r="C7" s="9" t="s">
        <v>772</v>
      </c>
      <c r="D7" s="9" t="s">
        <v>773</v>
      </c>
      <c r="E7" s="12">
        <v>3</v>
      </c>
    </row>
    <row r="8" spans="2:5" x14ac:dyDescent="0.25">
      <c r="B8" s="11" t="s">
        <v>6</v>
      </c>
      <c r="C8" s="13" t="s">
        <v>774</v>
      </c>
      <c r="D8" s="9" t="s">
        <v>775</v>
      </c>
      <c r="E8" s="12">
        <v>3</v>
      </c>
    </row>
    <row r="9" spans="2:5" x14ac:dyDescent="0.25">
      <c r="B9" s="11" t="s">
        <v>7</v>
      </c>
      <c r="C9" s="13" t="s">
        <v>776</v>
      </c>
      <c r="D9" s="9" t="s">
        <v>773</v>
      </c>
      <c r="E9" s="12">
        <v>3</v>
      </c>
    </row>
    <row r="10" spans="2:5" x14ac:dyDescent="0.25">
      <c r="B10" s="11" t="s">
        <v>8</v>
      </c>
      <c r="C10" s="13" t="s">
        <v>777</v>
      </c>
      <c r="D10" s="9" t="s">
        <v>778</v>
      </c>
      <c r="E10" s="12">
        <v>2</v>
      </c>
    </row>
    <row r="11" spans="2:5" x14ac:dyDescent="0.25">
      <c r="B11" s="11" t="s">
        <v>779</v>
      </c>
      <c r="C11" s="9" t="s">
        <v>780</v>
      </c>
      <c r="D11" s="9" t="s">
        <v>773</v>
      </c>
      <c r="E11" s="12">
        <v>3</v>
      </c>
    </row>
    <row r="12" spans="2:5" x14ac:dyDescent="0.25">
      <c r="B12" s="11" t="s">
        <v>9</v>
      </c>
      <c r="C12" s="9" t="s">
        <v>772</v>
      </c>
      <c r="D12" s="9" t="s">
        <v>773</v>
      </c>
      <c r="E12" s="12">
        <v>3</v>
      </c>
    </row>
    <row r="13" spans="2:5" x14ac:dyDescent="0.25">
      <c r="B13" s="11" t="s">
        <v>10</v>
      </c>
      <c r="C13" s="9" t="s">
        <v>772</v>
      </c>
      <c r="D13" s="9" t="s">
        <v>773</v>
      </c>
      <c r="E13" s="12">
        <v>3</v>
      </c>
    </row>
    <row r="14" spans="2:5" x14ac:dyDescent="0.25">
      <c r="B14" s="11" t="s">
        <v>11</v>
      </c>
      <c r="C14" s="9" t="s">
        <v>780</v>
      </c>
      <c r="D14" s="9" t="s">
        <v>773</v>
      </c>
      <c r="E14" s="12">
        <v>3</v>
      </c>
    </row>
    <row r="15" spans="2:5" x14ac:dyDescent="0.25">
      <c r="B15" s="11" t="s">
        <v>12</v>
      </c>
      <c r="C15" s="9" t="s">
        <v>772</v>
      </c>
      <c r="D15" s="9" t="s">
        <v>773</v>
      </c>
      <c r="E15" s="12">
        <v>3</v>
      </c>
    </row>
    <row r="16" spans="2:5" x14ac:dyDescent="0.25">
      <c r="B16" s="11" t="s">
        <v>13</v>
      </c>
      <c r="C16" s="9" t="s">
        <v>772</v>
      </c>
      <c r="D16" s="9" t="s">
        <v>773</v>
      </c>
      <c r="E16" s="12">
        <v>3</v>
      </c>
    </row>
    <row r="17" spans="2:5" x14ac:dyDescent="0.25">
      <c r="B17" s="11" t="s">
        <v>14</v>
      </c>
      <c r="C17" s="9" t="s">
        <v>780</v>
      </c>
      <c r="D17" s="9" t="s">
        <v>773</v>
      </c>
      <c r="E17" s="12">
        <v>3</v>
      </c>
    </row>
    <row r="18" spans="2:5" x14ac:dyDescent="0.25">
      <c r="B18" s="11" t="s">
        <v>15</v>
      </c>
      <c r="C18" s="9" t="s">
        <v>772</v>
      </c>
      <c r="D18" s="9" t="s">
        <v>773</v>
      </c>
      <c r="E18" s="12">
        <v>3</v>
      </c>
    </row>
    <row r="19" spans="2:5" x14ac:dyDescent="0.25">
      <c r="B19" s="11" t="s">
        <v>16</v>
      </c>
      <c r="C19" s="9" t="s">
        <v>781</v>
      </c>
      <c r="D19" s="9" t="s">
        <v>773</v>
      </c>
      <c r="E19" s="12">
        <v>3</v>
      </c>
    </row>
    <row r="20" spans="2:5" x14ac:dyDescent="0.25">
      <c r="B20" s="11" t="s">
        <v>17</v>
      </c>
      <c r="C20" s="9" t="s">
        <v>780</v>
      </c>
      <c r="D20" s="9" t="s">
        <v>773</v>
      </c>
      <c r="E20" s="12">
        <v>3</v>
      </c>
    </row>
    <row r="21" spans="2:5" x14ac:dyDescent="0.25">
      <c r="B21" s="11" t="s">
        <v>18</v>
      </c>
      <c r="C21" s="9" t="s">
        <v>772</v>
      </c>
      <c r="D21" s="9" t="s">
        <v>773</v>
      </c>
      <c r="E21" s="12">
        <v>3</v>
      </c>
    </row>
    <row r="22" spans="2:5" x14ac:dyDescent="0.25">
      <c r="B22" s="11" t="s">
        <v>19</v>
      </c>
      <c r="C22" s="9" t="s">
        <v>772</v>
      </c>
      <c r="D22" s="9" t="s">
        <v>773</v>
      </c>
      <c r="E22" s="12">
        <v>3</v>
      </c>
    </row>
    <row r="23" spans="2:5" x14ac:dyDescent="0.25">
      <c r="B23" s="11" t="s">
        <v>782</v>
      </c>
      <c r="C23" s="9" t="s">
        <v>783</v>
      </c>
      <c r="D23" s="9" t="s">
        <v>784</v>
      </c>
      <c r="E23" s="12">
        <v>2</v>
      </c>
    </row>
    <row r="24" spans="2:5" x14ac:dyDescent="0.25">
      <c r="B24" s="11" t="s">
        <v>20</v>
      </c>
      <c r="C24" s="9" t="s">
        <v>780</v>
      </c>
      <c r="D24" s="9" t="s">
        <v>773</v>
      </c>
      <c r="E24" s="12">
        <v>3</v>
      </c>
    </row>
    <row r="25" spans="2:5" x14ac:dyDescent="0.25">
      <c r="B25" s="11" t="s">
        <v>21</v>
      </c>
      <c r="C25" s="9" t="s">
        <v>780</v>
      </c>
      <c r="D25" s="9" t="s">
        <v>773</v>
      </c>
      <c r="E25" s="12">
        <v>3</v>
      </c>
    </row>
    <row r="26" spans="2:5" x14ac:dyDescent="0.25">
      <c r="B26" s="11" t="s">
        <v>22</v>
      </c>
      <c r="C26" s="9" t="s">
        <v>780</v>
      </c>
      <c r="D26" s="9" t="s">
        <v>773</v>
      </c>
      <c r="E26" s="12">
        <v>3</v>
      </c>
    </row>
    <row r="27" spans="2:5" x14ac:dyDescent="0.25">
      <c r="B27" s="11" t="s">
        <v>23</v>
      </c>
      <c r="C27" s="13" t="s">
        <v>785</v>
      </c>
      <c r="D27" s="9" t="s">
        <v>786</v>
      </c>
      <c r="E27" s="12">
        <v>3</v>
      </c>
    </row>
    <row r="28" spans="2:5" x14ac:dyDescent="0.25">
      <c r="B28" s="11" t="s">
        <v>24</v>
      </c>
      <c r="C28" s="13" t="s">
        <v>787</v>
      </c>
      <c r="D28" s="9" t="s">
        <v>788</v>
      </c>
      <c r="E28" s="12">
        <v>3</v>
      </c>
    </row>
    <row r="29" spans="2:5" x14ac:dyDescent="0.25">
      <c r="B29" s="11" t="s">
        <v>25</v>
      </c>
      <c r="C29" s="9" t="s">
        <v>780</v>
      </c>
      <c r="D29" s="9" t="s">
        <v>773</v>
      </c>
      <c r="E29" s="12">
        <v>3</v>
      </c>
    </row>
    <row r="30" spans="2:5" x14ac:dyDescent="0.25">
      <c r="B30" s="11" t="s">
        <v>26</v>
      </c>
      <c r="C30" s="9" t="s">
        <v>780</v>
      </c>
      <c r="D30" s="9" t="s">
        <v>773</v>
      </c>
      <c r="E30" s="12">
        <v>3</v>
      </c>
    </row>
    <row r="31" spans="2:5" x14ac:dyDescent="0.25">
      <c r="B31" s="11" t="s">
        <v>27</v>
      </c>
      <c r="C31" s="9" t="s">
        <v>780</v>
      </c>
      <c r="D31" s="9" t="s">
        <v>773</v>
      </c>
      <c r="E31" s="12">
        <v>3</v>
      </c>
    </row>
    <row r="32" spans="2:5" x14ac:dyDescent="0.25">
      <c r="B32" s="11" t="s">
        <v>789</v>
      </c>
      <c r="C32" s="9" t="s">
        <v>780</v>
      </c>
      <c r="D32" s="9" t="s">
        <v>773</v>
      </c>
      <c r="E32" s="12">
        <v>3</v>
      </c>
    </row>
    <row r="33" spans="2:5" x14ac:dyDescent="0.25">
      <c r="B33" s="11" t="s">
        <v>28</v>
      </c>
      <c r="C33" s="9" t="s">
        <v>780</v>
      </c>
      <c r="D33" s="9" t="s">
        <v>773</v>
      </c>
      <c r="E33" s="12">
        <v>3</v>
      </c>
    </row>
    <row r="34" spans="2:5" x14ac:dyDescent="0.25">
      <c r="B34" s="11" t="s">
        <v>790</v>
      </c>
      <c r="C34" s="9" t="s">
        <v>780</v>
      </c>
      <c r="D34" s="9" t="s">
        <v>773</v>
      </c>
      <c r="E34" s="12">
        <v>3</v>
      </c>
    </row>
    <row r="35" spans="2:5" x14ac:dyDescent="0.25">
      <c r="B35" s="11" t="s">
        <v>29</v>
      </c>
      <c r="C35" s="9" t="s">
        <v>772</v>
      </c>
      <c r="D35" s="9" t="s">
        <v>773</v>
      </c>
      <c r="E35" s="12">
        <v>3</v>
      </c>
    </row>
    <row r="36" spans="2:5" x14ac:dyDescent="0.25">
      <c r="B36" s="11" t="s">
        <v>30</v>
      </c>
      <c r="C36" s="9" t="s">
        <v>780</v>
      </c>
      <c r="D36" s="9" t="s">
        <v>773</v>
      </c>
      <c r="E36" s="12">
        <v>3</v>
      </c>
    </row>
    <row r="37" spans="2:5" x14ac:dyDescent="0.25">
      <c r="B37" s="11" t="s">
        <v>31</v>
      </c>
      <c r="C37" s="9" t="s">
        <v>780</v>
      </c>
      <c r="D37" s="9" t="s">
        <v>773</v>
      </c>
      <c r="E37" s="12">
        <v>3</v>
      </c>
    </row>
    <row r="38" spans="2:5" x14ac:dyDescent="0.25">
      <c r="B38" s="11" t="s">
        <v>32</v>
      </c>
      <c r="C38" s="9" t="s">
        <v>772</v>
      </c>
      <c r="D38" s="9" t="s">
        <v>773</v>
      </c>
      <c r="E38" s="12">
        <v>3</v>
      </c>
    </row>
    <row r="39" spans="2:5" x14ac:dyDescent="0.25">
      <c r="B39" s="11" t="s">
        <v>33</v>
      </c>
      <c r="C39" s="9" t="s">
        <v>780</v>
      </c>
      <c r="D39" s="9" t="s">
        <v>773</v>
      </c>
      <c r="E39" s="12">
        <v>3</v>
      </c>
    </row>
    <row r="40" spans="2:5" x14ac:dyDescent="0.25">
      <c r="B40" s="11" t="s">
        <v>34</v>
      </c>
      <c r="C40" s="9" t="s">
        <v>772</v>
      </c>
      <c r="D40" s="9" t="s">
        <v>773</v>
      </c>
      <c r="E40" s="12">
        <v>3</v>
      </c>
    </row>
    <row r="41" spans="2:5" x14ac:dyDescent="0.25">
      <c r="B41" s="11" t="s">
        <v>35</v>
      </c>
      <c r="C41" s="9" t="s">
        <v>772</v>
      </c>
      <c r="D41" s="9" t="s">
        <v>773</v>
      </c>
      <c r="E41" s="12">
        <v>3</v>
      </c>
    </row>
    <row r="42" spans="2:5" x14ac:dyDescent="0.25">
      <c r="B42" s="14" t="s">
        <v>791</v>
      </c>
      <c r="C42" s="15" t="s">
        <v>792</v>
      </c>
      <c r="D42" s="16" t="s">
        <v>775</v>
      </c>
      <c r="E42" s="17">
        <v>3</v>
      </c>
    </row>
    <row r="44" spans="2:5" x14ac:dyDescent="0.25">
      <c r="B44" s="6" t="s">
        <v>793</v>
      </c>
      <c r="D44" s="18" t="str">
        <f>HYPERLINK("https://stats.oecd.org/wbos/fileview2.aspx?IDFile=fc8d0e70-31da-4081-9a11-7fd29be75a0d","Click here")</f>
        <v>Click here</v>
      </c>
    </row>
  </sheetData>
  <mergeCells count="2">
    <mergeCell ref="B1:E1"/>
    <mergeCell ref="B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B3C8-8EFB-4B61-A96C-DD62F06F83CA}">
  <dimension ref="A1:AM41"/>
  <sheetViews>
    <sheetView tabSelected="1" zoomScale="55" zoomScaleNormal="55"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21.85546875" customWidth="1"/>
    <col min="2" max="2" width="12.42578125" customWidth="1"/>
    <col min="3" max="3" width="41.42578125" customWidth="1"/>
    <col min="4" max="4" width="28" customWidth="1"/>
    <col min="5" max="5" width="18.140625" customWidth="1"/>
    <col min="6" max="6" width="46.42578125" customWidth="1"/>
    <col min="7" max="7" width="18.140625" customWidth="1"/>
    <col min="8" max="8" width="22.5703125" customWidth="1"/>
    <col min="9" max="9" width="32.28515625" customWidth="1"/>
    <col min="10" max="10" width="51.28515625" customWidth="1"/>
    <col min="11" max="11" width="73.42578125" customWidth="1"/>
    <col min="12" max="12" width="18.140625" customWidth="1"/>
    <col min="13" max="13" width="24.7109375" customWidth="1"/>
    <col min="14" max="14" width="35.140625" customWidth="1"/>
    <col min="15" max="15" width="32" customWidth="1"/>
    <col min="16" max="16" width="48" customWidth="1"/>
    <col min="17" max="17" width="63.85546875" customWidth="1"/>
    <col min="18" max="18" width="18.5703125" customWidth="1"/>
    <col min="19" max="19" width="21.7109375" customWidth="1"/>
    <col min="20" max="20" width="24.42578125" customWidth="1"/>
    <col min="21" max="21" width="70.85546875" customWidth="1"/>
    <col min="22" max="22" width="55.28515625" customWidth="1"/>
    <col min="23" max="23" width="18.5703125" customWidth="1"/>
    <col min="24" max="24" width="40.85546875" customWidth="1"/>
    <col min="25" max="25" width="19.140625" customWidth="1"/>
    <col min="26" max="26" width="33.5703125" customWidth="1"/>
    <col min="27" max="27" width="27.7109375" customWidth="1"/>
    <col min="28" max="30" width="25.5703125" customWidth="1"/>
    <col min="31" max="32" width="15.5703125" customWidth="1"/>
    <col min="33" max="33" width="47.7109375" customWidth="1"/>
    <col min="34" max="34" width="58.28515625" customWidth="1"/>
    <col min="35" max="35" width="38" customWidth="1"/>
    <col min="36" max="36" width="30.7109375" customWidth="1"/>
    <col min="37" max="37" width="67.5703125" customWidth="1"/>
    <col min="38" max="38" width="28.28515625" customWidth="1"/>
    <col min="39" max="39" width="73.42578125" customWidth="1"/>
  </cols>
  <sheetData>
    <row r="1" spans="1:39" s="1" customFormat="1" ht="75" x14ac:dyDescent="0.25">
      <c r="A1" s="40" t="s">
        <v>763</v>
      </c>
      <c r="B1" s="40" t="s">
        <v>764</v>
      </c>
      <c r="C1" s="40" t="s">
        <v>37</v>
      </c>
      <c r="D1" s="40" t="s">
        <v>62</v>
      </c>
      <c r="E1" s="40" t="s">
        <v>100</v>
      </c>
      <c r="F1" s="40" t="s">
        <v>108</v>
      </c>
      <c r="G1" s="40" t="s">
        <v>114</v>
      </c>
      <c r="H1" s="40" t="s">
        <v>117</v>
      </c>
      <c r="I1" s="40" t="s">
        <v>146</v>
      </c>
      <c r="J1" s="40" t="s">
        <v>160</v>
      </c>
      <c r="K1" s="40" t="s">
        <v>196</v>
      </c>
      <c r="L1" s="40" t="s">
        <v>213</v>
      </c>
      <c r="M1" s="40" t="s">
        <v>238</v>
      </c>
      <c r="N1" s="40" t="s">
        <v>260</v>
      </c>
      <c r="O1" s="40" t="s">
        <v>266</v>
      </c>
      <c r="P1" s="40" t="s">
        <v>269</v>
      </c>
      <c r="Q1" s="40" t="s">
        <v>293</v>
      </c>
      <c r="R1" s="40" t="s">
        <v>310</v>
      </c>
      <c r="S1" s="40" t="s">
        <v>333</v>
      </c>
      <c r="T1" s="40" t="s">
        <v>352</v>
      </c>
      <c r="U1" s="40" t="s">
        <v>362</v>
      </c>
      <c r="V1" s="40" t="s">
        <v>375</v>
      </c>
      <c r="W1" s="40" t="s">
        <v>406</v>
      </c>
      <c r="X1" s="40" t="s">
        <v>432</v>
      </c>
      <c r="Y1" s="40" t="s">
        <v>450</v>
      </c>
      <c r="Z1" s="40" t="s">
        <v>466</v>
      </c>
      <c r="AA1" s="40" t="s">
        <v>480</v>
      </c>
      <c r="AB1" s="40" t="s">
        <v>492</v>
      </c>
      <c r="AC1" s="40" t="s">
        <v>511</v>
      </c>
      <c r="AD1" s="40" t="s">
        <v>528</v>
      </c>
      <c r="AE1" s="40" t="s">
        <v>543</v>
      </c>
      <c r="AF1" s="40" t="s">
        <v>549</v>
      </c>
      <c r="AG1" s="40" t="s">
        <v>555</v>
      </c>
      <c r="AH1" s="40" t="s">
        <v>592</v>
      </c>
      <c r="AI1" s="40" t="s">
        <v>627</v>
      </c>
      <c r="AJ1" s="40" t="s">
        <v>638</v>
      </c>
      <c r="AK1" s="40" t="s">
        <v>671</v>
      </c>
      <c r="AL1" s="40" t="s">
        <v>694</v>
      </c>
      <c r="AM1" s="40" t="s">
        <v>703</v>
      </c>
    </row>
    <row r="2" spans="1:39" ht="57" x14ac:dyDescent="0.25">
      <c r="A2" s="40" t="s">
        <v>726</v>
      </c>
      <c r="B2" s="40" t="s">
        <v>0</v>
      </c>
      <c r="C2" s="40" t="s">
        <v>38</v>
      </c>
      <c r="D2" s="40" t="s">
        <v>63</v>
      </c>
      <c r="E2" s="40" t="s">
        <v>101</v>
      </c>
      <c r="F2" s="40" t="s">
        <v>110</v>
      </c>
      <c r="G2" s="40">
        <v>2021</v>
      </c>
      <c r="H2" s="40" t="s">
        <v>118</v>
      </c>
      <c r="I2" s="40">
        <v>2015</v>
      </c>
      <c r="J2" s="40" t="s">
        <v>161</v>
      </c>
      <c r="K2" s="40" t="s">
        <v>197</v>
      </c>
      <c r="L2" s="40" t="s">
        <v>214</v>
      </c>
      <c r="M2" s="40" t="s">
        <v>239</v>
      </c>
      <c r="N2" s="40" t="s">
        <v>261</v>
      </c>
      <c r="O2" s="40" t="s">
        <v>809</v>
      </c>
      <c r="P2" s="40" t="s">
        <v>809</v>
      </c>
      <c r="Q2" s="40" t="s">
        <v>294</v>
      </c>
      <c r="R2" s="40" t="s">
        <v>311</v>
      </c>
      <c r="S2" s="40" t="s">
        <v>809</v>
      </c>
      <c r="T2" s="40" t="s">
        <v>353</v>
      </c>
      <c r="U2" s="40" t="s">
        <v>363</v>
      </c>
      <c r="V2" s="40" t="s">
        <v>376</v>
      </c>
      <c r="W2" s="40" t="s">
        <v>809</v>
      </c>
      <c r="X2" s="40" t="s">
        <v>433</v>
      </c>
      <c r="Y2" s="40" t="s">
        <v>809</v>
      </c>
      <c r="Z2" s="40" t="s">
        <v>467</v>
      </c>
      <c r="AA2" s="40" t="s">
        <v>437</v>
      </c>
      <c r="AB2" s="40" t="s">
        <v>809</v>
      </c>
      <c r="AC2" s="40" t="s">
        <v>809</v>
      </c>
      <c r="AD2" s="40" t="s">
        <v>809</v>
      </c>
      <c r="AE2" s="40" t="s">
        <v>809</v>
      </c>
      <c r="AF2" s="43">
        <v>0.8</v>
      </c>
      <c r="AG2" s="40" t="s">
        <v>556</v>
      </c>
      <c r="AH2" s="40" t="s">
        <v>593</v>
      </c>
      <c r="AI2" s="40" t="s">
        <v>628</v>
      </c>
      <c r="AJ2" s="40" t="s">
        <v>639</v>
      </c>
      <c r="AK2" s="40" t="s">
        <v>628</v>
      </c>
      <c r="AL2" s="40" t="s">
        <v>628</v>
      </c>
      <c r="AM2" s="40" t="s">
        <v>704</v>
      </c>
    </row>
    <row r="3" spans="1:39" ht="313.5" x14ac:dyDescent="0.25">
      <c r="A3" s="40" t="s">
        <v>727</v>
      </c>
      <c r="B3" s="40" t="s">
        <v>1</v>
      </c>
      <c r="C3" s="40" t="s">
        <v>39</v>
      </c>
      <c r="D3" s="40" t="s">
        <v>64</v>
      </c>
      <c r="E3" s="40" t="s">
        <v>102</v>
      </c>
      <c r="F3" s="40" t="s">
        <v>109</v>
      </c>
      <c r="G3" s="40" t="s">
        <v>115</v>
      </c>
      <c r="H3" s="40" t="s">
        <v>809</v>
      </c>
      <c r="I3" s="40" t="s">
        <v>809</v>
      </c>
      <c r="J3" s="40" t="s">
        <v>162</v>
      </c>
      <c r="K3" s="40" t="s">
        <v>809</v>
      </c>
      <c r="L3" s="40" t="s">
        <v>809</v>
      </c>
      <c r="M3" s="40" t="s">
        <v>809</v>
      </c>
      <c r="N3" s="40" t="s">
        <v>809</v>
      </c>
      <c r="O3" s="40" t="s">
        <v>809</v>
      </c>
      <c r="P3" s="40" t="s">
        <v>270</v>
      </c>
      <c r="Q3" s="40" t="s">
        <v>295</v>
      </c>
      <c r="R3" s="40" t="s">
        <v>312</v>
      </c>
      <c r="S3" s="40" t="s">
        <v>334</v>
      </c>
      <c r="T3" s="40" t="s">
        <v>354</v>
      </c>
      <c r="U3" s="40" t="s">
        <v>364</v>
      </c>
      <c r="V3" s="40" t="s">
        <v>377</v>
      </c>
      <c r="W3" s="40" t="s">
        <v>407</v>
      </c>
      <c r="X3" s="40" t="s">
        <v>809</v>
      </c>
      <c r="Y3" s="40" t="s">
        <v>809</v>
      </c>
      <c r="Z3" s="40" t="s">
        <v>809</v>
      </c>
      <c r="AA3" s="40" t="s">
        <v>809</v>
      </c>
      <c r="AB3" s="40" t="s">
        <v>809</v>
      </c>
      <c r="AC3" s="40" t="s">
        <v>809</v>
      </c>
      <c r="AD3" s="40" t="s">
        <v>809</v>
      </c>
      <c r="AE3" s="40" t="s">
        <v>809</v>
      </c>
      <c r="AF3" s="40" t="s">
        <v>809</v>
      </c>
      <c r="AG3" s="40" t="s">
        <v>557</v>
      </c>
      <c r="AH3" s="40" t="s">
        <v>594</v>
      </c>
      <c r="AI3" s="40" t="s">
        <v>809</v>
      </c>
      <c r="AJ3" s="40" t="s">
        <v>809</v>
      </c>
      <c r="AK3" s="40" t="s">
        <v>672</v>
      </c>
      <c r="AL3" s="40" t="s">
        <v>695</v>
      </c>
      <c r="AM3" s="40" t="s">
        <v>705</v>
      </c>
    </row>
    <row r="4" spans="1:39" ht="114" x14ac:dyDescent="0.25">
      <c r="A4" s="40" t="s">
        <v>728</v>
      </c>
      <c r="B4" s="40" t="s">
        <v>2</v>
      </c>
      <c r="C4" s="40" t="s">
        <v>40</v>
      </c>
      <c r="D4" s="40" t="s">
        <v>65</v>
      </c>
      <c r="E4" s="40" t="s">
        <v>103</v>
      </c>
      <c r="F4" s="40" t="s">
        <v>110</v>
      </c>
      <c r="G4" s="40">
        <v>2022</v>
      </c>
      <c r="H4" s="40" t="s">
        <v>119</v>
      </c>
      <c r="I4" s="40" t="s">
        <v>147</v>
      </c>
      <c r="J4" s="40" t="s">
        <v>163</v>
      </c>
      <c r="K4" s="40" t="s">
        <v>809</v>
      </c>
      <c r="L4" s="40" t="s">
        <v>147</v>
      </c>
      <c r="M4" s="40" t="s">
        <v>240</v>
      </c>
      <c r="N4" s="40" t="s">
        <v>262</v>
      </c>
      <c r="O4" s="40" t="s">
        <v>809</v>
      </c>
      <c r="P4" s="40" t="s">
        <v>271</v>
      </c>
      <c r="Q4" s="40" t="s">
        <v>296</v>
      </c>
      <c r="R4" s="40" t="s">
        <v>313</v>
      </c>
      <c r="S4" s="40" t="s">
        <v>334</v>
      </c>
      <c r="T4" s="40" t="s">
        <v>355</v>
      </c>
      <c r="U4" s="40" t="s">
        <v>363</v>
      </c>
      <c r="V4" s="40" t="s">
        <v>378</v>
      </c>
      <c r="W4" s="40" t="s">
        <v>408</v>
      </c>
      <c r="X4" s="40" t="s">
        <v>434</v>
      </c>
      <c r="Y4" s="40">
        <v>18627</v>
      </c>
      <c r="Z4" s="40">
        <v>6650</v>
      </c>
      <c r="AA4" s="40">
        <v>11401</v>
      </c>
      <c r="AB4" s="40">
        <v>3859</v>
      </c>
      <c r="AC4" s="40">
        <v>1521</v>
      </c>
      <c r="AD4" s="40">
        <v>2192</v>
      </c>
      <c r="AE4" s="40" t="s">
        <v>809</v>
      </c>
      <c r="AF4" s="42">
        <v>0.59899999999999998</v>
      </c>
      <c r="AG4" s="40" t="s">
        <v>558</v>
      </c>
      <c r="AH4" s="40" t="s">
        <v>595</v>
      </c>
      <c r="AI4" s="40" t="s">
        <v>629</v>
      </c>
      <c r="AJ4" s="40" t="s">
        <v>640</v>
      </c>
      <c r="AK4" s="40" t="s">
        <v>673</v>
      </c>
      <c r="AL4" s="40" t="s">
        <v>628</v>
      </c>
      <c r="AM4" s="40" t="s">
        <v>673</v>
      </c>
    </row>
    <row r="5" spans="1:39" ht="142.5" x14ac:dyDescent="0.25">
      <c r="A5" s="40" t="s">
        <v>729</v>
      </c>
      <c r="B5" s="40" t="s">
        <v>3</v>
      </c>
      <c r="C5" s="40" t="s">
        <v>40</v>
      </c>
      <c r="D5" s="40" t="s">
        <v>66</v>
      </c>
      <c r="E5" s="40" t="s">
        <v>103</v>
      </c>
      <c r="F5" s="40" t="s">
        <v>110</v>
      </c>
      <c r="G5" s="40">
        <v>2022</v>
      </c>
      <c r="H5" s="40" t="s">
        <v>103</v>
      </c>
      <c r="I5" s="40" t="s">
        <v>148</v>
      </c>
      <c r="J5" s="40" t="s">
        <v>164</v>
      </c>
      <c r="K5" s="40" t="s">
        <v>809</v>
      </c>
      <c r="L5" s="40" t="s">
        <v>215</v>
      </c>
      <c r="M5" s="40" t="s">
        <v>241</v>
      </c>
      <c r="N5" s="40" t="s">
        <v>262</v>
      </c>
      <c r="O5" s="40" t="s">
        <v>809</v>
      </c>
      <c r="P5" s="40" t="s">
        <v>272</v>
      </c>
      <c r="Q5" s="40" t="s">
        <v>297</v>
      </c>
      <c r="R5" s="40" t="s">
        <v>314</v>
      </c>
      <c r="S5" s="40" t="s">
        <v>335</v>
      </c>
      <c r="T5" s="40" t="s">
        <v>355</v>
      </c>
      <c r="U5" s="40" t="s">
        <v>848</v>
      </c>
      <c r="V5" s="40" t="s">
        <v>379</v>
      </c>
      <c r="W5" s="40" t="s">
        <v>409</v>
      </c>
      <c r="X5" s="40" t="s">
        <v>435</v>
      </c>
      <c r="Y5" s="40">
        <v>14314</v>
      </c>
      <c r="Z5" s="40" t="s">
        <v>148</v>
      </c>
      <c r="AA5" s="40" t="s">
        <v>148</v>
      </c>
      <c r="AB5" s="40">
        <v>4154</v>
      </c>
      <c r="AC5" s="40">
        <v>1798</v>
      </c>
      <c r="AD5" s="40">
        <v>2356</v>
      </c>
      <c r="AE5" s="40">
        <v>0.55000000000000004</v>
      </c>
      <c r="AF5" s="43">
        <v>0.56999999999999995</v>
      </c>
      <c r="AG5" s="40" t="s">
        <v>559</v>
      </c>
      <c r="AH5" s="40" t="s">
        <v>596</v>
      </c>
      <c r="AI5" s="40" t="s">
        <v>628</v>
      </c>
      <c r="AJ5" s="40" t="s">
        <v>641</v>
      </c>
      <c r="AK5" s="40" t="s">
        <v>674</v>
      </c>
      <c r="AL5" s="40" t="s">
        <v>628</v>
      </c>
      <c r="AM5" s="40" t="s">
        <v>706</v>
      </c>
    </row>
    <row r="6" spans="1:39" ht="142.5" x14ac:dyDescent="0.25">
      <c r="A6" s="40" t="s">
        <v>731</v>
      </c>
      <c r="B6" s="40" t="s">
        <v>5</v>
      </c>
      <c r="C6" s="40" t="s">
        <v>42</v>
      </c>
      <c r="D6" s="40" t="s">
        <v>68</v>
      </c>
      <c r="E6" s="40">
        <v>2022</v>
      </c>
      <c r="F6" s="40" t="s">
        <v>111</v>
      </c>
      <c r="G6" s="40">
        <v>2022</v>
      </c>
      <c r="H6" s="40" t="s">
        <v>121</v>
      </c>
      <c r="I6" s="40">
        <v>2021</v>
      </c>
      <c r="J6" s="40" t="s">
        <v>166</v>
      </c>
      <c r="K6" s="40" t="s">
        <v>198</v>
      </c>
      <c r="L6" s="40" t="s">
        <v>217</v>
      </c>
      <c r="M6" s="40" t="s">
        <v>243</v>
      </c>
      <c r="N6" s="40">
        <v>2024</v>
      </c>
      <c r="O6" s="40" t="s">
        <v>809</v>
      </c>
      <c r="P6" s="40" t="s">
        <v>274</v>
      </c>
      <c r="Q6" s="40" t="s">
        <v>298</v>
      </c>
      <c r="R6" s="40" t="s">
        <v>316</v>
      </c>
      <c r="S6" s="40" t="s">
        <v>336</v>
      </c>
      <c r="T6" s="40" t="s">
        <v>356</v>
      </c>
      <c r="U6" s="40" t="s">
        <v>365</v>
      </c>
      <c r="V6" s="40" t="s">
        <v>377</v>
      </c>
      <c r="W6" s="40" t="s">
        <v>411</v>
      </c>
      <c r="X6" s="40" t="s">
        <v>809</v>
      </c>
      <c r="Y6" s="40" t="s">
        <v>452</v>
      </c>
      <c r="Z6" s="40" t="s">
        <v>452</v>
      </c>
      <c r="AA6" s="40" t="s">
        <v>809</v>
      </c>
      <c r="AB6" s="40" t="s">
        <v>494</v>
      </c>
      <c r="AC6" s="40" t="s">
        <v>494</v>
      </c>
      <c r="AD6" s="40" t="s">
        <v>809</v>
      </c>
      <c r="AE6" s="40">
        <v>0.95799999999999996</v>
      </c>
      <c r="AF6" s="42">
        <v>0.97699999999999998</v>
      </c>
      <c r="AG6" s="40" t="s">
        <v>561</v>
      </c>
      <c r="AH6" s="40" t="s">
        <v>597</v>
      </c>
      <c r="AI6" s="40" t="s">
        <v>809</v>
      </c>
      <c r="AJ6" s="40" t="s">
        <v>809</v>
      </c>
      <c r="AK6" s="40" t="s">
        <v>675</v>
      </c>
      <c r="AL6" s="40" t="s">
        <v>696</v>
      </c>
      <c r="AM6" s="40" t="s">
        <v>708</v>
      </c>
    </row>
    <row r="7" spans="1:39" ht="171" x14ac:dyDescent="0.25">
      <c r="A7" s="40" t="s">
        <v>730</v>
      </c>
      <c r="B7" s="40" t="s">
        <v>4</v>
      </c>
      <c r="C7" s="40" t="s">
        <v>41</v>
      </c>
      <c r="D7" s="40" t="s">
        <v>67</v>
      </c>
      <c r="E7" s="40" t="s">
        <v>103</v>
      </c>
      <c r="F7" s="40" t="s">
        <v>110</v>
      </c>
      <c r="G7" s="40">
        <v>2022</v>
      </c>
      <c r="H7" s="40" t="s">
        <v>120</v>
      </c>
      <c r="I7" s="40" t="s">
        <v>149</v>
      </c>
      <c r="J7" s="40" t="s">
        <v>165</v>
      </c>
      <c r="K7" s="40" t="s">
        <v>809</v>
      </c>
      <c r="L7" s="40" t="s">
        <v>216</v>
      </c>
      <c r="M7" s="40" t="s">
        <v>242</v>
      </c>
      <c r="N7" s="40" t="s">
        <v>262</v>
      </c>
      <c r="O7" s="40" t="s">
        <v>809</v>
      </c>
      <c r="P7" s="40" t="s">
        <v>273</v>
      </c>
      <c r="Q7" s="40" t="s">
        <v>296</v>
      </c>
      <c r="R7" s="40" t="s">
        <v>315</v>
      </c>
      <c r="S7" s="40" t="s">
        <v>334</v>
      </c>
      <c r="T7" s="40" t="s">
        <v>353</v>
      </c>
      <c r="U7" s="40" t="s">
        <v>370</v>
      </c>
      <c r="V7" s="40" t="s">
        <v>380</v>
      </c>
      <c r="W7" s="40" t="s">
        <v>410</v>
      </c>
      <c r="X7" s="40" t="s">
        <v>809</v>
      </c>
      <c r="Y7" s="40" t="s">
        <v>451</v>
      </c>
      <c r="Z7" s="40" t="s">
        <v>468</v>
      </c>
      <c r="AA7" s="40" t="s">
        <v>481</v>
      </c>
      <c r="AB7" s="40" t="s">
        <v>493</v>
      </c>
      <c r="AC7" s="40" t="s">
        <v>512</v>
      </c>
      <c r="AD7" s="40" t="s">
        <v>529</v>
      </c>
      <c r="AE7" s="40" t="s">
        <v>809</v>
      </c>
      <c r="AF7" s="42">
        <v>0.92979999999999996</v>
      </c>
      <c r="AG7" s="40" t="s">
        <v>560</v>
      </c>
      <c r="AH7" s="40" t="s">
        <v>809</v>
      </c>
      <c r="AI7" s="40" t="s">
        <v>628</v>
      </c>
      <c r="AJ7" s="40" t="s">
        <v>642</v>
      </c>
      <c r="AK7" s="40" t="s">
        <v>628</v>
      </c>
      <c r="AL7" s="40" t="s">
        <v>628</v>
      </c>
      <c r="AM7" s="40" t="s">
        <v>707</v>
      </c>
    </row>
    <row r="8" spans="1:39" ht="270.75" x14ac:dyDescent="0.25">
      <c r="A8" s="40" t="s">
        <v>732</v>
      </c>
      <c r="B8" s="40" t="s">
        <v>6</v>
      </c>
      <c r="C8" s="40" t="s">
        <v>43</v>
      </c>
      <c r="D8" s="40" t="s">
        <v>69</v>
      </c>
      <c r="E8" s="40" t="s">
        <v>103</v>
      </c>
      <c r="F8" s="40" t="s">
        <v>110</v>
      </c>
      <c r="G8" s="40">
        <v>2022</v>
      </c>
      <c r="H8" s="40" t="s">
        <v>765</v>
      </c>
      <c r="I8" s="40" t="s">
        <v>809</v>
      </c>
      <c r="J8" s="40" t="s">
        <v>167</v>
      </c>
      <c r="K8" s="40" t="s">
        <v>199</v>
      </c>
      <c r="L8" s="40" t="s">
        <v>218</v>
      </c>
      <c r="M8" s="40" t="s">
        <v>809</v>
      </c>
      <c r="N8" s="40" t="s">
        <v>809</v>
      </c>
      <c r="O8" s="40" t="s">
        <v>809</v>
      </c>
      <c r="P8" s="40" t="s">
        <v>809</v>
      </c>
      <c r="Q8" s="40" t="s">
        <v>299</v>
      </c>
      <c r="R8" s="40" t="s">
        <v>317</v>
      </c>
      <c r="S8" s="40" t="s">
        <v>337</v>
      </c>
      <c r="T8" s="40" t="s">
        <v>357</v>
      </c>
      <c r="U8" s="40" t="s">
        <v>366</v>
      </c>
      <c r="V8" s="40" t="s">
        <v>381</v>
      </c>
      <c r="W8" s="40" t="s">
        <v>412</v>
      </c>
      <c r="X8" s="40" t="s">
        <v>809</v>
      </c>
      <c r="Y8" s="40" t="s">
        <v>809</v>
      </c>
      <c r="Z8" s="40" t="s">
        <v>809</v>
      </c>
      <c r="AA8" s="40" t="s">
        <v>809</v>
      </c>
      <c r="AB8" s="40" t="s">
        <v>809</v>
      </c>
      <c r="AC8" s="40" t="s">
        <v>809</v>
      </c>
      <c r="AD8" s="40" t="s">
        <v>809</v>
      </c>
      <c r="AE8" s="40" t="s">
        <v>809</v>
      </c>
      <c r="AF8" s="40" t="s">
        <v>809</v>
      </c>
      <c r="AG8" s="40" t="s">
        <v>562</v>
      </c>
      <c r="AH8" s="40" t="s">
        <v>598</v>
      </c>
      <c r="AI8" s="40" t="s">
        <v>630</v>
      </c>
      <c r="AJ8" s="40" t="s">
        <v>643</v>
      </c>
      <c r="AK8" s="40" t="s">
        <v>676</v>
      </c>
      <c r="AL8" s="40" t="s">
        <v>697</v>
      </c>
      <c r="AM8" s="40" t="s">
        <v>709</v>
      </c>
    </row>
    <row r="9" spans="1:39" ht="114" x14ac:dyDescent="0.25">
      <c r="A9" s="40" t="s">
        <v>734</v>
      </c>
      <c r="B9" s="40" t="s">
        <v>8</v>
      </c>
      <c r="C9" s="40" t="s">
        <v>45</v>
      </c>
      <c r="D9" s="40" t="s">
        <v>71</v>
      </c>
      <c r="E9" s="40" t="s">
        <v>104</v>
      </c>
      <c r="F9" s="40" t="s">
        <v>112</v>
      </c>
      <c r="G9" s="40" t="s">
        <v>104</v>
      </c>
      <c r="H9" s="40" t="s">
        <v>122</v>
      </c>
      <c r="I9" s="40" t="s">
        <v>809</v>
      </c>
      <c r="J9" s="40" t="s">
        <v>169</v>
      </c>
      <c r="K9" s="40" t="s">
        <v>809</v>
      </c>
      <c r="L9" s="40" t="s">
        <v>220</v>
      </c>
      <c r="M9" s="40">
        <v>2028</v>
      </c>
      <c r="N9" s="40" t="s">
        <v>263</v>
      </c>
      <c r="O9" s="40" t="s">
        <v>809</v>
      </c>
      <c r="P9" s="40" t="s">
        <v>276</v>
      </c>
      <c r="Q9" s="40" t="s">
        <v>301</v>
      </c>
      <c r="R9" s="40" t="s">
        <v>318</v>
      </c>
      <c r="S9" s="40" t="s">
        <v>339</v>
      </c>
      <c r="T9" s="40" t="s">
        <v>354</v>
      </c>
      <c r="U9" s="40" t="s">
        <v>363</v>
      </c>
      <c r="V9" s="40" t="s">
        <v>382</v>
      </c>
      <c r="W9" s="40" t="s">
        <v>414</v>
      </c>
      <c r="X9" s="40" t="s">
        <v>809</v>
      </c>
      <c r="Y9" s="40">
        <v>220185</v>
      </c>
      <c r="Z9" s="40">
        <v>5.1749999999999998</v>
      </c>
      <c r="AA9" s="40" t="s">
        <v>809</v>
      </c>
      <c r="AB9" s="40" t="s">
        <v>496</v>
      </c>
      <c r="AC9" s="40" t="s">
        <v>514</v>
      </c>
      <c r="AD9" s="40" t="s">
        <v>809</v>
      </c>
      <c r="AE9" s="40" t="s">
        <v>809</v>
      </c>
      <c r="AF9" s="40" t="s">
        <v>857</v>
      </c>
      <c r="AG9" s="40" t="s">
        <v>564</v>
      </c>
      <c r="AH9" s="40" t="s">
        <v>600</v>
      </c>
      <c r="AI9" s="40" t="s">
        <v>809</v>
      </c>
      <c r="AJ9" s="40" t="s">
        <v>645</v>
      </c>
      <c r="AK9" s="40" t="s">
        <v>678</v>
      </c>
      <c r="AL9" s="40" t="s">
        <v>628</v>
      </c>
      <c r="AM9" s="40" t="s">
        <v>673</v>
      </c>
    </row>
    <row r="10" spans="1:39" ht="409.5" x14ac:dyDescent="0.25">
      <c r="A10" s="40" t="s">
        <v>839</v>
      </c>
      <c r="B10" s="40" t="s">
        <v>802</v>
      </c>
      <c r="C10" s="40" t="s">
        <v>828</v>
      </c>
      <c r="D10" s="40" t="s">
        <v>829</v>
      </c>
      <c r="E10" s="40">
        <v>2022</v>
      </c>
      <c r="F10" s="40" t="s">
        <v>111</v>
      </c>
      <c r="G10" s="40">
        <v>2022</v>
      </c>
      <c r="H10" s="40">
        <v>2023</v>
      </c>
      <c r="I10" s="40" t="s">
        <v>830</v>
      </c>
      <c r="J10" s="40" t="s">
        <v>809</v>
      </c>
      <c r="K10" s="40" t="s">
        <v>831</v>
      </c>
      <c r="L10" s="40" t="s">
        <v>809</v>
      </c>
      <c r="M10" s="40" t="s">
        <v>809</v>
      </c>
      <c r="N10" s="40" t="s">
        <v>809</v>
      </c>
      <c r="O10" s="40" t="s">
        <v>832</v>
      </c>
      <c r="P10" s="40" t="s">
        <v>809</v>
      </c>
      <c r="Q10" s="40" t="s">
        <v>833</v>
      </c>
      <c r="R10" s="40" t="s">
        <v>834</v>
      </c>
      <c r="S10" s="40" t="s">
        <v>809</v>
      </c>
      <c r="T10" s="40" t="s">
        <v>353</v>
      </c>
      <c r="U10" s="40" t="s">
        <v>363</v>
      </c>
      <c r="V10" s="40" t="s">
        <v>835</v>
      </c>
      <c r="W10" s="40" t="s">
        <v>836</v>
      </c>
      <c r="X10" s="40" t="s">
        <v>809</v>
      </c>
      <c r="Y10" s="40" t="s">
        <v>809</v>
      </c>
      <c r="Z10" s="40" t="s">
        <v>809</v>
      </c>
      <c r="AA10" s="40" t="s">
        <v>809</v>
      </c>
      <c r="AB10" s="40" t="s">
        <v>809</v>
      </c>
      <c r="AC10" s="40" t="s">
        <v>809</v>
      </c>
      <c r="AD10" s="40" t="s">
        <v>809</v>
      </c>
      <c r="AE10" s="40" t="s">
        <v>809</v>
      </c>
      <c r="AF10" s="40" t="s">
        <v>809</v>
      </c>
      <c r="AG10" s="40" t="s">
        <v>837</v>
      </c>
      <c r="AH10" s="40" t="s">
        <v>809</v>
      </c>
      <c r="AI10" s="40" t="s">
        <v>809</v>
      </c>
      <c r="AJ10" s="40" t="s">
        <v>809</v>
      </c>
      <c r="AK10" s="40" t="s">
        <v>809</v>
      </c>
      <c r="AL10" s="40" t="s">
        <v>838</v>
      </c>
      <c r="AM10" s="40" t="s">
        <v>809</v>
      </c>
    </row>
    <row r="11" spans="1:39" ht="128.25" x14ac:dyDescent="0.25">
      <c r="A11" s="40" t="s">
        <v>826</v>
      </c>
      <c r="B11" s="40" t="s">
        <v>827</v>
      </c>
      <c r="C11" s="40" t="s">
        <v>810</v>
      </c>
      <c r="D11" s="40" t="s">
        <v>811</v>
      </c>
      <c r="E11" s="40" t="s">
        <v>812</v>
      </c>
      <c r="F11" s="40" t="s">
        <v>111</v>
      </c>
      <c r="G11" s="40" t="s">
        <v>104</v>
      </c>
      <c r="H11" s="40" t="s">
        <v>809</v>
      </c>
      <c r="I11" s="40" t="s">
        <v>809</v>
      </c>
      <c r="J11" s="40" t="s">
        <v>813</v>
      </c>
      <c r="K11" s="40" t="s">
        <v>814</v>
      </c>
      <c r="L11" s="40" t="s">
        <v>815</v>
      </c>
      <c r="M11" s="40" t="s">
        <v>809</v>
      </c>
      <c r="N11" s="40" t="s">
        <v>809</v>
      </c>
      <c r="O11" s="40" t="s">
        <v>809</v>
      </c>
      <c r="P11" s="40" t="s">
        <v>816</v>
      </c>
      <c r="Q11" s="40" t="s">
        <v>817</v>
      </c>
      <c r="R11" s="40" t="s">
        <v>818</v>
      </c>
      <c r="S11" s="40" t="s">
        <v>819</v>
      </c>
      <c r="T11" s="40" t="s">
        <v>355</v>
      </c>
      <c r="U11" s="40" t="s">
        <v>363</v>
      </c>
      <c r="V11" s="40" t="s">
        <v>377</v>
      </c>
      <c r="W11" s="40" t="s">
        <v>820</v>
      </c>
      <c r="X11" s="40" t="s">
        <v>821</v>
      </c>
      <c r="Y11" s="40" t="s">
        <v>822</v>
      </c>
      <c r="Z11" s="40">
        <v>1890</v>
      </c>
      <c r="AA11" s="40" t="s">
        <v>809</v>
      </c>
      <c r="AB11" s="40" t="s">
        <v>823</v>
      </c>
      <c r="AC11" s="40">
        <v>356</v>
      </c>
      <c r="AD11" s="40">
        <v>318</v>
      </c>
      <c r="AE11" s="40" t="s">
        <v>809</v>
      </c>
      <c r="AF11" s="40" t="s">
        <v>809</v>
      </c>
      <c r="AG11" s="40" t="s">
        <v>809</v>
      </c>
      <c r="AH11" s="40" t="s">
        <v>809</v>
      </c>
      <c r="AI11" s="40" t="s">
        <v>809</v>
      </c>
      <c r="AJ11" s="40" t="s">
        <v>824</v>
      </c>
      <c r="AK11" s="40" t="s">
        <v>809</v>
      </c>
      <c r="AL11" s="40" t="s">
        <v>809</v>
      </c>
      <c r="AM11" s="40" t="s">
        <v>825</v>
      </c>
    </row>
    <row r="12" spans="1:39" ht="85.5" x14ac:dyDescent="0.25">
      <c r="A12" s="40" t="s">
        <v>744</v>
      </c>
      <c r="B12" s="40" t="s">
        <v>18</v>
      </c>
      <c r="C12" s="40" t="s">
        <v>50</v>
      </c>
      <c r="D12" s="40" t="s">
        <v>81</v>
      </c>
      <c r="E12" s="40" t="s">
        <v>103</v>
      </c>
      <c r="F12" s="40" t="s">
        <v>113</v>
      </c>
      <c r="G12" s="40">
        <v>2022</v>
      </c>
      <c r="H12" s="40" t="s">
        <v>130</v>
      </c>
      <c r="I12" s="40" t="s">
        <v>153</v>
      </c>
      <c r="J12" s="40" t="s">
        <v>178</v>
      </c>
      <c r="K12" s="40" t="s">
        <v>809</v>
      </c>
      <c r="L12" s="40" t="s">
        <v>228</v>
      </c>
      <c r="M12" s="40" t="s">
        <v>809</v>
      </c>
      <c r="N12" s="40" t="s">
        <v>809</v>
      </c>
      <c r="O12" s="40" t="s">
        <v>809</v>
      </c>
      <c r="P12" s="40" t="s">
        <v>809</v>
      </c>
      <c r="Q12" s="40" t="s">
        <v>304</v>
      </c>
      <c r="R12" s="40" t="s">
        <v>323</v>
      </c>
      <c r="S12" s="40" t="s">
        <v>342</v>
      </c>
      <c r="T12" s="40" t="s">
        <v>357</v>
      </c>
      <c r="U12" s="40" t="s">
        <v>849</v>
      </c>
      <c r="V12" s="40" t="s">
        <v>854</v>
      </c>
      <c r="W12" s="40" t="s">
        <v>855</v>
      </c>
      <c r="X12" s="40" t="s">
        <v>809</v>
      </c>
      <c r="Y12" s="40">
        <v>7639</v>
      </c>
      <c r="Z12" s="40">
        <v>3814</v>
      </c>
      <c r="AA12" s="40">
        <v>3825</v>
      </c>
      <c r="AB12" s="40">
        <v>2577</v>
      </c>
      <c r="AC12" s="40">
        <v>1512</v>
      </c>
      <c r="AD12" s="40">
        <v>1065</v>
      </c>
      <c r="AE12" s="40" t="s">
        <v>545</v>
      </c>
      <c r="AF12" s="40" t="s">
        <v>550</v>
      </c>
      <c r="AG12" s="40" t="s">
        <v>574</v>
      </c>
      <c r="AH12" s="40" t="s">
        <v>609</v>
      </c>
      <c r="AI12" s="40" t="s">
        <v>809</v>
      </c>
      <c r="AJ12" s="40" t="s">
        <v>654</v>
      </c>
      <c r="AK12" s="40" t="s">
        <v>686</v>
      </c>
      <c r="AL12" s="40" t="s">
        <v>628</v>
      </c>
      <c r="AM12" s="40" t="s">
        <v>628</v>
      </c>
    </row>
    <row r="13" spans="1:39" ht="114" x14ac:dyDescent="0.25">
      <c r="A13" s="40" t="s">
        <v>735</v>
      </c>
      <c r="B13" s="40" t="s">
        <v>9</v>
      </c>
      <c r="C13" s="40" t="s">
        <v>46</v>
      </c>
      <c r="D13" s="40" t="s">
        <v>72</v>
      </c>
      <c r="E13" s="40" t="s">
        <v>103</v>
      </c>
      <c r="F13" s="40" t="s">
        <v>110</v>
      </c>
      <c r="G13" s="40">
        <v>2022</v>
      </c>
      <c r="H13" s="40" t="s">
        <v>123</v>
      </c>
      <c r="I13" s="40">
        <v>2014</v>
      </c>
      <c r="J13" s="40" t="s">
        <v>170</v>
      </c>
      <c r="K13" s="40" t="s">
        <v>809</v>
      </c>
      <c r="L13" s="40" t="s">
        <v>221</v>
      </c>
      <c r="M13" s="40" t="s">
        <v>245</v>
      </c>
      <c r="N13" s="40" t="s">
        <v>262</v>
      </c>
      <c r="O13" s="40" t="s">
        <v>809</v>
      </c>
      <c r="P13" s="40" t="s">
        <v>277</v>
      </c>
      <c r="Q13" s="40" t="s">
        <v>296</v>
      </c>
      <c r="R13" s="40" t="s">
        <v>313</v>
      </c>
      <c r="S13" s="40" t="s">
        <v>334</v>
      </c>
      <c r="T13" s="40" t="s">
        <v>354</v>
      </c>
      <c r="U13" s="40" t="s">
        <v>367</v>
      </c>
      <c r="V13" s="40" t="s">
        <v>383</v>
      </c>
      <c r="W13" s="40" t="s">
        <v>415</v>
      </c>
      <c r="X13" s="40" t="s">
        <v>436</v>
      </c>
      <c r="Y13" s="40" t="s">
        <v>454</v>
      </c>
      <c r="Z13" s="40" t="s">
        <v>470</v>
      </c>
      <c r="AA13" s="40" t="s">
        <v>482</v>
      </c>
      <c r="AB13" s="40" t="s">
        <v>497</v>
      </c>
      <c r="AC13" s="40" t="s">
        <v>515</v>
      </c>
      <c r="AD13" s="40" t="s">
        <v>531</v>
      </c>
      <c r="AE13" s="43">
        <v>0.93</v>
      </c>
      <c r="AF13" s="43">
        <v>0.92</v>
      </c>
      <c r="AG13" s="40" t="s">
        <v>565</v>
      </c>
      <c r="AH13" s="40" t="s">
        <v>601</v>
      </c>
      <c r="AI13" s="40" t="s">
        <v>628</v>
      </c>
      <c r="AJ13" s="40" t="s">
        <v>646</v>
      </c>
      <c r="AK13" s="40" t="s">
        <v>679</v>
      </c>
      <c r="AL13" s="40" t="s">
        <v>628</v>
      </c>
      <c r="AM13" s="40" t="s">
        <v>710</v>
      </c>
    </row>
    <row r="14" spans="1:39" ht="114" x14ac:dyDescent="0.25">
      <c r="A14" s="40" t="s">
        <v>737</v>
      </c>
      <c r="B14" s="40" t="s">
        <v>11</v>
      </c>
      <c r="C14" s="40" t="s">
        <v>46</v>
      </c>
      <c r="D14" s="40" t="s">
        <v>74</v>
      </c>
      <c r="E14" s="40" t="s">
        <v>103</v>
      </c>
      <c r="F14" s="40" t="s">
        <v>110</v>
      </c>
      <c r="G14" s="40">
        <v>2022</v>
      </c>
      <c r="H14" s="40" t="s">
        <v>809</v>
      </c>
      <c r="I14" s="40">
        <v>1997</v>
      </c>
      <c r="J14" s="40" t="s">
        <v>172</v>
      </c>
      <c r="K14" s="40" t="s">
        <v>809</v>
      </c>
      <c r="L14" s="40" t="s">
        <v>223</v>
      </c>
      <c r="M14" s="40" t="s">
        <v>809</v>
      </c>
      <c r="N14" s="40" t="s">
        <v>809</v>
      </c>
      <c r="O14" s="40" t="s">
        <v>809</v>
      </c>
      <c r="P14" s="40" t="s">
        <v>279</v>
      </c>
      <c r="Q14" s="40" t="s">
        <v>303</v>
      </c>
      <c r="R14" s="40" t="s">
        <v>313</v>
      </c>
      <c r="S14" s="40" t="s">
        <v>334</v>
      </c>
      <c r="T14" s="40" t="s">
        <v>354</v>
      </c>
      <c r="U14" s="40" t="s">
        <v>363</v>
      </c>
      <c r="V14" s="40" t="s">
        <v>385</v>
      </c>
      <c r="W14" s="40" t="s">
        <v>410</v>
      </c>
      <c r="X14" s="40" t="s">
        <v>809</v>
      </c>
      <c r="Y14" s="40" t="s">
        <v>809</v>
      </c>
      <c r="Z14" s="40" t="s">
        <v>809</v>
      </c>
      <c r="AA14" s="40" t="s">
        <v>809</v>
      </c>
      <c r="AB14" s="40" t="s">
        <v>809</v>
      </c>
      <c r="AC14" s="40" t="s">
        <v>809</v>
      </c>
      <c r="AD14" s="40" t="s">
        <v>809</v>
      </c>
      <c r="AE14" s="40" t="s">
        <v>809</v>
      </c>
      <c r="AF14" s="40" t="s">
        <v>809</v>
      </c>
      <c r="AG14" s="40" t="s">
        <v>567</v>
      </c>
      <c r="AH14" s="40" t="s">
        <v>809</v>
      </c>
      <c r="AI14" s="40" t="s">
        <v>628</v>
      </c>
      <c r="AJ14" s="40" t="s">
        <v>809</v>
      </c>
      <c r="AK14" s="40" t="s">
        <v>809</v>
      </c>
      <c r="AL14" s="40" t="s">
        <v>699</v>
      </c>
      <c r="AM14" s="40" t="s">
        <v>712</v>
      </c>
    </row>
    <row r="15" spans="1:39" ht="114" x14ac:dyDescent="0.25">
      <c r="A15" s="40" t="s">
        <v>739</v>
      </c>
      <c r="B15" s="40" t="s">
        <v>13</v>
      </c>
      <c r="C15" s="40" t="s">
        <v>46</v>
      </c>
      <c r="D15" s="40" t="s">
        <v>76</v>
      </c>
      <c r="E15" s="40" t="s">
        <v>103</v>
      </c>
      <c r="F15" s="40" t="s">
        <v>110</v>
      </c>
      <c r="G15" s="40">
        <v>2022</v>
      </c>
      <c r="H15" s="40" t="s">
        <v>126</v>
      </c>
      <c r="I15" s="40">
        <v>2000</v>
      </c>
      <c r="J15" s="40" t="s">
        <v>174</v>
      </c>
      <c r="K15" s="40" t="s">
        <v>809</v>
      </c>
      <c r="L15" s="40" t="s">
        <v>225</v>
      </c>
      <c r="M15" s="40" t="s">
        <v>248</v>
      </c>
      <c r="N15" s="40" t="s">
        <v>262</v>
      </c>
      <c r="O15" s="40" t="s">
        <v>809</v>
      </c>
      <c r="P15" s="40" t="s">
        <v>281</v>
      </c>
      <c r="Q15" s="40" t="s">
        <v>303</v>
      </c>
      <c r="R15" s="40" t="s">
        <v>313</v>
      </c>
      <c r="S15" s="40" t="s">
        <v>334</v>
      </c>
      <c r="T15" s="40" t="s">
        <v>354</v>
      </c>
      <c r="U15" s="40" t="s">
        <v>363</v>
      </c>
      <c r="V15" s="40" t="s">
        <v>387</v>
      </c>
      <c r="W15" s="40" t="s">
        <v>410</v>
      </c>
      <c r="X15" s="40" t="s">
        <v>438</v>
      </c>
      <c r="Y15" s="40">
        <v>3859</v>
      </c>
      <c r="Z15" s="40">
        <v>1778</v>
      </c>
      <c r="AA15" s="40">
        <v>1919</v>
      </c>
      <c r="AB15" s="40" t="s">
        <v>809</v>
      </c>
      <c r="AC15" s="40" t="s">
        <v>809</v>
      </c>
      <c r="AD15" s="40" t="s">
        <v>809</v>
      </c>
      <c r="AE15" s="42">
        <v>0.80759999999999998</v>
      </c>
      <c r="AF15" s="42">
        <v>0.84860000000000002</v>
      </c>
      <c r="AG15" s="40" t="s">
        <v>569</v>
      </c>
      <c r="AH15" s="40" t="s">
        <v>604</v>
      </c>
      <c r="AI15" s="40" t="s">
        <v>628</v>
      </c>
      <c r="AJ15" s="40" t="s">
        <v>649</v>
      </c>
      <c r="AK15" s="40" t="s">
        <v>682</v>
      </c>
      <c r="AL15" s="40" t="s">
        <v>628</v>
      </c>
      <c r="AM15" s="40" t="s">
        <v>628</v>
      </c>
    </row>
    <row r="16" spans="1:39" ht="142.5" x14ac:dyDescent="0.25">
      <c r="A16" s="40" t="s">
        <v>740</v>
      </c>
      <c r="B16" s="40" t="s">
        <v>14</v>
      </c>
      <c r="C16" s="40" t="s">
        <v>48</v>
      </c>
      <c r="D16" s="40" t="s">
        <v>77</v>
      </c>
      <c r="E16" s="40" t="s">
        <v>103</v>
      </c>
      <c r="F16" s="40" t="s">
        <v>110</v>
      </c>
      <c r="G16" s="40">
        <v>2022</v>
      </c>
      <c r="H16" s="40" t="s">
        <v>127</v>
      </c>
      <c r="I16" s="40" t="s">
        <v>151</v>
      </c>
      <c r="J16" s="40" t="s">
        <v>175</v>
      </c>
      <c r="K16" s="40" t="s">
        <v>809</v>
      </c>
      <c r="L16" s="40" t="s">
        <v>151</v>
      </c>
      <c r="M16" s="40" t="s">
        <v>847</v>
      </c>
      <c r="N16" s="40" t="s">
        <v>262</v>
      </c>
      <c r="O16" s="40" t="s">
        <v>809</v>
      </c>
      <c r="P16" s="40" t="s">
        <v>282</v>
      </c>
      <c r="Q16" s="40" t="s">
        <v>303</v>
      </c>
      <c r="R16" s="40" t="s">
        <v>320</v>
      </c>
      <c r="S16" s="40" t="s">
        <v>334</v>
      </c>
      <c r="T16" s="40" t="s">
        <v>359</v>
      </c>
      <c r="U16" s="40" t="s">
        <v>363</v>
      </c>
      <c r="V16" s="40" t="s">
        <v>388</v>
      </c>
      <c r="W16" s="40" t="s">
        <v>410</v>
      </c>
      <c r="X16" s="40" t="s">
        <v>809</v>
      </c>
      <c r="Y16" s="40" t="s">
        <v>457</v>
      </c>
      <c r="Z16" s="40" t="s">
        <v>473</v>
      </c>
      <c r="AA16" s="40" t="s">
        <v>485</v>
      </c>
      <c r="AB16" s="40">
        <v>2486</v>
      </c>
      <c r="AC16" s="40" t="s">
        <v>518</v>
      </c>
      <c r="AD16" s="40" t="s">
        <v>534</v>
      </c>
      <c r="AE16" s="40" t="s">
        <v>809</v>
      </c>
      <c r="AF16" s="42">
        <v>0.63500000000000001</v>
      </c>
      <c r="AG16" s="40" t="s">
        <v>570</v>
      </c>
      <c r="AH16" s="40" t="s">
        <v>605</v>
      </c>
      <c r="AI16" s="40" t="s">
        <v>628</v>
      </c>
      <c r="AJ16" s="40" t="s">
        <v>650</v>
      </c>
      <c r="AK16" s="40" t="s">
        <v>683</v>
      </c>
      <c r="AL16" s="40" t="s">
        <v>628</v>
      </c>
      <c r="AM16" s="40" t="s">
        <v>713</v>
      </c>
    </row>
    <row r="17" spans="1:39" ht="409.5" x14ac:dyDescent="0.25">
      <c r="A17" s="40" t="s">
        <v>741</v>
      </c>
      <c r="B17" s="40" t="s">
        <v>15</v>
      </c>
      <c r="C17" s="40" t="s">
        <v>46</v>
      </c>
      <c r="D17" s="40" t="s">
        <v>78</v>
      </c>
      <c r="E17" s="40" t="s">
        <v>103</v>
      </c>
      <c r="F17" s="40" t="s">
        <v>110</v>
      </c>
      <c r="G17" s="40">
        <v>2022</v>
      </c>
      <c r="H17" s="40" t="s">
        <v>128</v>
      </c>
      <c r="I17" s="40" t="s">
        <v>809</v>
      </c>
      <c r="J17" s="40" t="s">
        <v>809</v>
      </c>
      <c r="K17" s="40" t="s">
        <v>809</v>
      </c>
      <c r="L17" s="40" t="s">
        <v>809</v>
      </c>
      <c r="M17" s="40" t="s">
        <v>249</v>
      </c>
      <c r="N17" s="40" t="s">
        <v>262</v>
      </c>
      <c r="O17" s="40" t="s">
        <v>809</v>
      </c>
      <c r="P17" s="40" t="s">
        <v>283</v>
      </c>
      <c r="Q17" s="40" t="s">
        <v>303</v>
      </c>
      <c r="R17" s="40" t="s">
        <v>321</v>
      </c>
      <c r="S17" s="40" t="s">
        <v>334</v>
      </c>
      <c r="T17" s="40" t="s">
        <v>353</v>
      </c>
      <c r="U17" s="40" t="s">
        <v>363</v>
      </c>
      <c r="V17" s="40" t="s">
        <v>853</v>
      </c>
      <c r="W17" s="40" t="s">
        <v>417</v>
      </c>
      <c r="X17" s="40" t="s">
        <v>439</v>
      </c>
      <c r="Y17" s="40" t="s">
        <v>809</v>
      </c>
      <c r="Z17" s="40" t="s">
        <v>809</v>
      </c>
      <c r="AA17" s="40" t="s">
        <v>809</v>
      </c>
      <c r="AB17" s="40" t="s">
        <v>500</v>
      </c>
      <c r="AC17" s="40" t="s">
        <v>809</v>
      </c>
      <c r="AD17" s="40" t="s">
        <v>809</v>
      </c>
      <c r="AE17" s="40" t="s">
        <v>809</v>
      </c>
      <c r="AF17" s="42">
        <v>0.66200000000000003</v>
      </c>
      <c r="AG17" s="40" t="s">
        <v>571</v>
      </c>
      <c r="AH17" s="40" t="s">
        <v>606</v>
      </c>
      <c r="AI17" s="40" t="s">
        <v>628</v>
      </c>
      <c r="AJ17" s="40" t="s">
        <v>651</v>
      </c>
      <c r="AK17" s="40" t="s">
        <v>684</v>
      </c>
      <c r="AL17" s="40" t="s">
        <v>628</v>
      </c>
      <c r="AM17" s="40" t="s">
        <v>714</v>
      </c>
    </row>
    <row r="18" spans="1:39" ht="327.75" x14ac:dyDescent="0.25">
      <c r="A18" s="40" t="s">
        <v>736</v>
      </c>
      <c r="B18" s="40" t="s">
        <v>10</v>
      </c>
      <c r="C18" s="40" t="s">
        <v>47</v>
      </c>
      <c r="D18" s="40" t="s">
        <v>73</v>
      </c>
      <c r="E18" s="40" t="s">
        <v>103</v>
      </c>
      <c r="F18" s="40" t="s">
        <v>110</v>
      </c>
      <c r="G18" s="40">
        <v>2022</v>
      </c>
      <c r="H18" s="40" t="s">
        <v>124</v>
      </c>
      <c r="I18" s="40" t="s">
        <v>150</v>
      </c>
      <c r="J18" s="40" t="s">
        <v>171</v>
      </c>
      <c r="K18" s="40" t="s">
        <v>809</v>
      </c>
      <c r="L18" s="40" t="s">
        <v>222</v>
      </c>
      <c r="M18" s="40" t="s">
        <v>246</v>
      </c>
      <c r="N18" s="40" t="s">
        <v>262</v>
      </c>
      <c r="O18" s="40" t="s">
        <v>809</v>
      </c>
      <c r="P18" s="40" t="s">
        <v>278</v>
      </c>
      <c r="Q18" s="40" t="s">
        <v>302</v>
      </c>
      <c r="R18" s="40" t="s">
        <v>319</v>
      </c>
      <c r="S18" s="40" t="s">
        <v>340</v>
      </c>
      <c r="T18" s="40" t="s">
        <v>355</v>
      </c>
      <c r="U18" s="40" t="s">
        <v>367</v>
      </c>
      <c r="V18" s="40" t="s">
        <v>384</v>
      </c>
      <c r="W18" s="40" t="s">
        <v>417</v>
      </c>
      <c r="X18" s="40" t="s">
        <v>809</v>
      </c>
      <c r="Y18" s="40" t="s">
        <v>455</v>
      </c>
      <c r="Z18" s="40" t="s">
        <v>471</v>
      </c>
      <c r="AA18" s="40" t="s">
        <v>483</v>
      </c>
      <c r="AB18" s="40" t="s">
        <v>498</v>
      </c>
      <c r="AC18" s="40" t="s">
        <v>516</v>
      </c>
      <c r="AD18" s="40" t="s">
        <v>532</v>
      </c>
      <c r="AE18" s="40" t="s">
        <v>544</v>
      </c>
      <c r="AF18" s="40" t="s">
        <v>858</v>
      </c>
      <c r="AG18" s="40" t="s">
        <v>566</v>
      </c>
      <c r="AH18" s="40" t="s">
        <v>602</v>
      </c>
      <c r="AI18" s="40" t="s">
        <v>632</v>
      </c>
      <c r="AJ18" s="40" t="s">
        <v>647</v>
      </c>
      <c r="AK18" s="40" t="s">
        <v>680</v>
      </c>
      <c r="AL18" s="40" t="s">
        <v>628</v>
      </c>
      <c r="AM18" s="40" t="s">
        <v>711</v>
      </c>
    </row>
    <row r="19" spans="1:39" ht="256.5" x14ac:dyDescent="0.25">
      <c r="A19" s="40" t="s">
        <v>743</v>
      </c>
      <c r="B19" s="40" t="s">
        <v>17</v>
      </c>
      <c r="C19" s="40" t="s">
        <v>40</v>
      </c>
      <c r="D19" s="40" t="s">
        <v>80</v>
      </c>
      <c r="E19" s="40" t="s">
        <v>103</v>
      </c>
      <c r="F19" s="40" t="s">
        <v>110</v>
      </c>
      <c r="G19" s="40">
        <v>2022</v>
      </c>
      <c r="H19" s="40" t="s">
        <v>129</v>
      </c>
      <c r="I19" s="40" t="s">
        <v>152</v>
      </c>
      <c r="J19" s="40" t="s">
        <v>177</v>
      </c>
      <c r="K19" s="40" t="s">
        <v>202</v>
      </c>
      <c r="L19" s="40" t="s">
        <v>227</v>
      </c>
      <c r="M19" s="40" t="s">
        <v>227</v>
      </c>
      <c r="N19" s="40" t="s">
        <v>262</v>
      </c>
      <c r="O19" s="40" t="s">
        <v>809</v>
      </c>
      <c r="P19" s="40" t="s">
        <v>809</v>
      </c>
      <c r="Q19" s="40" t="s">
        <v>303</v>
      </c>
      <c r="R19" s="40" t="s">
        <v>322</v>
      </c>
      <c r="S19" s="40" t="s">
        <v>341</v>
      </c>
      <c r="T19" s="40" t="s">
        <v>357</v>
      </c>
      <c r="U19" s="40" t="s">
        <v>363</v>
      </c>
      <c r="V19" s="40" t="s">
        <v>390</v>
      </c>
      <c r="W19" s="40" t="s">
        <v>419</v>
      </c>
      <c r="X19" s="40" t="s">
        <v>441</v>
      </c>
      <c r="Y19" s="40" t="s">
        <v>458</v>
      </c>
      <c r="Z19" s="40" t="s">
        <v>474</v>
      </c>
      <c r="AA19" s="40" t="s">
        <v>486</v>
      </c>
      <c r="AB19" s="40" t="s">
        <v>501</v>
      </c>
      <c r="AC19" s="40" t="s">
        <v>519</v>
      </c>
      <c r="AD19" s="40" t="s">
        <v>535</v>
      </c>
      <c r="AE19" s="42">
        <v>0.59530000000000005</v>
      </c>
      <c r="AF19" s="42">
        <v>0.57830000000000004</v>
      </c>
      <c r="AG19" s="40" t="s">
        <v>573</v>
      </c>
      <c r="AH19" s="40" t="s">
        <v>608</v>
      </c>
      <c r="AI19" s="40" t="s">
        <v>633</v>
      </c>
      <c r="AJ19" s="40" t="s">
        <v>653</v>
      </c>
      <c r="AK19" s="40" t="s">
        <v>685</v>
      </c>
      <c r="AL19" s="40" t="s">
        <v>701</v>
      </c>
      <c r="AM19" s="40" t="s">
        <v>715</v>
      </c>
    </row>
    <row r="20" spans="1:39" ht="171" x14ac:dyDescent="0.25">
      <c r="A20" s="40" t="s">
        <v>745</v>
      </c>
      <c r="B20" s="40" t="s">
        <v>19</v>
      </c>
      <c r="C20" s="40" t="s">
        <v>51</v>
      </c>
      <c r="D20" s="40" t="s">
        <v>82</v>
      </c>
      <c r="E20" s="40" t="s">
        <v>103</v>
      </c>
      <c r="F20" s="40" t="s">
        <v>110</v>
      </c>
      <c r="G20" s="40">
        <v>2022</v>
      </c>
      <c r="H20" s="40" t="s">
        <v>131</v>
      </c>
      <c r="I20" s="40" t="s">
        <v>154</v>
      </c>
      <c r="J20" s="40" t="s">
        <v>179</v>
      </c>
      <c r="K20" s="40" t="s">
        <v>203</v>
      </c>
      <c r="L20" s="41" t="s">
        <v>841</v>
      </c>
      <c r="M20" s="41" t="s">
        <v>242</v>
      </c>
      <c r="N20" s="40" t="s">
        <v>262</v>
      </c>
      <c r="O20" s="40" t="s">
        <v>809</v>
      </c>
      <c r="P20" s="40" t="s">
        <v>809</v>
      </c>
      <c r="Q20" s="40" t="s">
        <v>303</v>
      </c>
      <c r="R20" s="40" t="s">
        <v>324</v>
      </c>
      <c r="S20" s="40" t="s">
        <v>343</v>
      </c>
      <c r="T20" s="40" t="s">
        <v>359</v>
      </c>
      <c r="U20" s="40" t="s">
        <v>370</v>
      </c>
      <c r="V20" s="40" t="s">
        <v>391</v>
      </c>
      <c r="W20" s="40" t="s">
        <v>420</v>
      </c>
      <c r="X20" s="40" t="s">
        <v>809</v>
      </c>
      <c r="Y20" s="40" t="s">
        <v>459</v>
      </c>
      <c r="Z20" s="40" t="s">
        <v>475</v>
      </c>
      <c r="AA20" s="40" t="s">
        <v>487</v>
      </c>
      <c r="AB20" s="40" t="s">
        <v>502</v>
      </c>
      <c r="AC20" s="40" t="s">
        <v>520</v>
      </c>
      <c r="AD20" s="40" t="s">
        <v>536</v>
      </c>
      <c r="AE20" s="44">
        <v>0.88580000000000003</v>
      </c>
      <c r="AF20" s="44">
        <v>0.89849999999999997</v>
      </c>
      <c r="AG20" s="40" t="s">
        <v>575</v>
      </c>
      <c r="AH20" s="40" t="s">
        <v>610</v>
      </c>
      <c r="AI20" s="40" t="s">
        <v>628</v>
      </c>
      <c r="AJ20" s="40" t="s">
        <v>655</v>
      </c>
      <c r="AK20" s="40" t="s">
        <v>687</v>
      </c>
      <c r="AL20" s="40" t="s">
        <v>628</v>
      </c>
      <c r="AM20" s="40" t="s">
        <v>673</v>
      </c>
    </row>
    <row r="21" spans="1:39" ht="114" x14ac:dyDescent="0.25">
      <c r="A21" s="40" t="s">
        <v>747</v>
      </c>
      <c r="B21" s="40" t="s">
        <v>21</v>
      </c>
      <c r="C21" s="40" t="s">
        <v>40</v>
      </c>
      <c r="D21" s="40" t="s">
        <v>84</v>
      </c>
      <c r="E21" s="40" t="s">
        <v>103</v>
      </c>
      <c r="F21" s="40" t="s">
        <v>110</v>
      </c>
      <c r="G21" s="40">
        <v>2022</v>
      </c>
      <c r="H21" s="40" t="s">
        <v>809</v>
      </c>
      <c r="I21" s="40" t="s">
        <v>809</v>
      </c>
      <c r="J21" s="40" t="s">
        <v>181</v>
      </c>
      <c r="K21" s="40" t="s">
        <v>809</v>
      </c>
      <c r="L21" s="40" t="s">
        <v>809</v>
      </c>
      <c r="M21" s="40" t="s">
        <v>809</v>
      </c>
      <c r="N21" s="40" t="s">
        <v>809</v>
      </c>
      <c r="O21" s="40" t="s">
        <v>809</v>
      </c>
      <c r="P21" s="40" t="s">
        <v>809</v>
      </c>
      <c r="Q21" s="40" t="s">
        <v>303</v>
      </c>
      <c r="R21" s="40" t="s">
        <v>313</v>
      </c>
      <c r="S21" s="40" t="s">
        <v>344</v>
      </c>
      <c r="T21" s="40" t="s">
        <v>355</v>
      </c>
      <c r="U21" s="40" t="s">
        <v>363</v>
      </c>
      <c r="V21" s="40" t="s">
        <v>380</v>
      </c>
      <c r="W21" s="40" t="s">
        <v>809</v>
      </c>
      <c r="X21" s="40" t="s">
        <v>809</v>
      </c>
      <c r="Y21" s="40" t="s">
        <v>809</v>
      </c>
      <c r="Z21" s="40" t="s">
        <v>809</v>
      </c>
      <c r="AA21" s="40" t="s">
        <v>809</v>
      </c>
      <c r="AB21" s="40" t="s">
        <v>809</v>
      </c>
      <c r="AC21" s="40" t="s">
        <v>809</v>
      </c>
      <c r="AD21" s="40" t="s">
        <v>809</v>
      </c>
      <c r="AE21" s="40" t="s">
        <v>809</v>
      </c>
      <c r="AF21" s="40" t="s">
        <v>809</v>
      </c>
      <c r="AG21" s="40" t="s">
        <v>809</v>
      </c>
      <c r="AH21" s="40" t="s">
        <v>809</v>
      </c>
      <c r="AI21" s="40" t="s">
        <v>809</v>
      </c>
      <c r="AJ21" s="40" t="s">
        <v>809</v>
      </c>
      <c r="AK21" s="40" t="s">
        <v>809</v>
      </c>
      <c r="AL21" s="40" t="s">
        <v>809</v>
      </c>
      <c r="AM21" s="40" t="s">
        <v>673</v>
      </c>
    </row>
    <row r="22" spans="1:39" ht="114" x14ac:dyDescent="0.25">
      <c r="A22" s="40" t="s">
        <v>746</v>
      </c>
      <c r="B22" s="40" t="s">
        <v>20</v>
      </c>
      <c r="C22" s="40" t="s">
        <v>40</v>
      </c>
      <c r="D22" s="40" t="s">
        <v>83</v>
      </c>
      <c r="E22" s="40" t="s">
        <v>103</v>
      </c>
      <c r="F22" s="40" t="s">
        <v>110</v>
      </c>
      <c r="G22" s="40">
        <v>2022</v>
      </c>
      <c r="H22" s="40" t="s">
        <v>809</v>
      </c>
      <c r="I22" s="40">
        <v>2004</v>
      </c>
      <c r="J22" s="40" t="s">
        <v>180</v>
      </c>
      <c r="K22" s="40" t="s">
        <v>809</v>
      </c>
      <c r="L22" s="40" t="s">
        <v>809</v>
      </c>
      <c r="M22" s="40" t="s">
        <v>809</v>
      </c>
      <c r="N22" s="40" t="s">
        <v>809</v>
      </c>
      <c r="O22" s="40" t="s">
        <v>809</v>
      </c>
      <c r="P22" s="40" t="s">
        <v>809</v>
      </c>
      <c r="Q22" s="40" t="s">
        <v>303</v>
      </c>
      <c r="R22" s="40" t="s">
        <v>313</v>
      </c>
      <c r="S22" s="40" t="s">
        <v>334</v>
      </c>
      <c r="T22" s="40" t="s">
        <v>353</v>
      </c>
      <c r="U22" s="40" t="s">
        <v>363</v>
      </c>
      <c r="V22" s="40" t="s">
        <v>392</v>
      </c>
      <c r="W22" s="40" t="s">
        <v>421</v>
      </c>
      <c r="X22" s="40" t="s">
        <v>809</v>
      </c>
      <c r="Y22" s="40" t="s">
        <v>809</v>
      </c>
      <c r="Z22" s="40" t="s">
        <v>809</v>
      </c>
      <c r="AA22" s="40" t="s">
        <v>809</v>
      </c>
      <c r="AB22" s="40" t="s">
        <v>809</v>
      </c>
      <c r="AC22" s="40" t="s">
        <v>809</v>
      </c>
      <c r="AD22" s="40" t="s">
        <v>809</v>
      </c>
      <c r="AE22" s="40" t="s">
        <v>809</v>
      </c>
      <c r="AF22" s="40" t="s">
        <v>809</v>
      </c>
      <c r="AG22" s="40" t="s">
        <v>576</v>
      </c>
      <c r="AH22" s="40" t="s">
        <v>611</v>
      </c>
      <c r="AI22" s="40" t="s">
        <v>628</v>
      </c>
      <c r="AJ22" s="40" t="s">
        <v>656</v>
      </c>
      <c r="AK22" s="40" t="s">
        <v>809</v>
      </c>
      <c r="AL22" s="40" t="s">
        <v>628</v>
      </c>
      <c r="AM22" s="40" t="s">
        <v>716</v>
      </c>
    </row>
    <row r="23" spans="1:39" ht="409.5" x14ac:dyDescent="0.25">
      <c r="A23" s="40" t="s">
        <v>748</v>
      </c>
      <c r="B23" s="40" t="s">
        <v>22</v>
      </c>
      <c r="C23" s="40" t="s">
        <v>52</v>
      </c>
      <c r="D23" s="40" t="s">
        <v>85</v>
      </c>
      <c r="E23" s="40" t="s">
        <v>103</v>
      </c>
      <c r="F23" s="40" t="s">
        <v>110</v>
      </c>
      <c r="G23" s="40">
        <v>2022</v>
      </c>
      <c r="H23" s="40" t="s">
        <v>132</v>
      </c>
      <c r="I23" s="40" t="s">
        <v>155</v>
      </c>
      <c r="J23" s="40" t="s">
        <v>809</v>
      </c>
      <c r="K23" s="40" t="s">
        <v>809</v>
      </c>
      <c r="L23" s="40" t="s">
        <v>809</v>
      </c>
      <c r="M23" s="40" t="s">
        <v>248</v>
      </c>
      <c r="N23" s="40" t="s">
        <v>262</v>
      </c>
      <c r="O23" s="40" t="s">
        <v>809</v>
      </c>
      <c r="P23" s="40" t="s">
        <v>809</v>
      </c>
      <c r="Q23" s="40" t="s">
        <v>305</v>
      </c>
      <c r="R23" s="40" t="s">
        <v>313</v>
      </c>
      <c r="S23" s="40" t="s">
        <v>334</v>
      </c>
      <c r="T23" s="40" t="s">
        <v>357</v>
      </c>
      <c r="U23" s="40" t="s">
        <v>363</v>
      </c>
      <c r="V23" s="40" t="s">
        <v>393</v>
      </c>
      <c r="W23" s="40" t="s">
        <v>422</v>
      </c>
      <c r="X23" s="40" t="s">
        <v>809</v>
      </c>
      <c r="Y23" s="40" t="s">
        <v>460</v>
      </c>
      <c r="Z23" s="40" t="s">
        <v>476</v>
      </c>
      <c r="AA23" s="40" t="s">
        <v>488</v>
      </c>
      <c r="AB23" s="40" t="s">
        <v>503</v>
      </c>
      <c r="AC23" s="40" t="s">
        <v>521</v>
      </c>
      <c r="AD23" s="40" t="s">
        <v>537</v>
      </c>
      <c r="AE23" s="44">
        <v>1</v>
      </c>
      <c r="AF23" s="44">
        <v>0.71799999999999997</v>
      </c>
      <c r="AG23" s="40" t="s">
        <v>577</v>
      </c>
      <c r="AH23" s="40" t="s">
        <v>612</v>
      </c>
      <c r="AI23" s="40" t="s">
        <v>634</v>
      </c>
      <c r="AJ23" s="40" t="s">
        <v>657</v>
      </c>
      <c r="AK23" s="40" t="s">
        <v>809</v>
      </c>
      <c r="AL23" s="40" t="s">
        <v>628</v>
      </c>
      <c r="AM23" s="40" t="s">
        <v>717</v>
      </c>
    </row>
    <row r="24" spans="1:39" ht="409.5" x14ac:dyDescent="0.25">
      <c r="A24" s="40" t="s">
        <v>749</v>
      </c>
      <c r="B24" s="40" t="s">
        <v>23</v>
      </c>
      <c r="C24" s="40" t="s">
        <v>53</v>
      </c>
      <c r="D24" s="40" t="s">
        <v>86</v>
      </c>
      <c r="E24" s="40" t="s">
        <v>106</v>
      </c>
      <c r="F24" s="40" t="s">
        <v>110</v>
      </c>
      <c r="G24" s="40">
        <v>2023</v>
      </c>
      <c r="H24" s="40" t="s">
        <v>133</v>
      </c>
      <c r="I24" s="40" t="s">
        <v>156</v>
      </c>
      <c r="J24" s="40" t="s">
        <v>182</v>
      </c>
      <c r="K24" s="40" t="s">
        <v>204</v>
      </c>
      <c r="L24" s="40" t="s">
        <v>229</v>
      </c>
      <c r="M24" s="40" t="s">
        <v>251</v>
      </c>
      <c r="N24" s="40" t="s">
        <v>264</v>
      </c>
      <c r="O24" s="40" t="s">
        <v>809</v>
      </c>
      <c r="P24" s="40" t="s">
        <v>285</v>
      </c>
      <c r="Q24" s="40" t="s">
        <v>296</v>
      </c>
      <c r="R24" s="40" t="s">
        <v>325</v>
      </c>
      <c r="S24" s="40" t="s">
        <v>334</v>
      </c>
      <c r="T24" s="40" t="s">
        <v>355</v>
      </c>
      <c r="U24" s="40" t="s">
        <v>371</v>
      </c>
      <c r="V24" s="40" t="s">
        <v>394</v>
      </c>
      <c r="W24" s="40" t="s">
        <v>417</v>
      </c>
      <c r="X24" s="40" t="s">
        <v>809</v>
      </c>
      <c r="Y24" s="40">
        <v>441303</v>
      </c>
      <c r="Z24" s="40">
        <v>100914</v>
      </c>
      <c r="AA24" s="40">
        <v>252489</v>
      </c>
      <c r="AB24" s="40">
        <v>12577</v>
      </c>
      <c r="AC24" s="40">
        <v>6071</v>
      </c>
      <c r="AD24" s="40">
        <v>5169</v>
      </c>
      <c r="AE24" s="44">
        <v>0.436</v>
      </c>
      <c r="AF24" s="40" t="s">
        <v>551</v>
      </c>
      <c r="AG24" s="40" t="s">
        <v>578</v>
      </c>
      <c r="AH24" s="40" t="s">
        <v>613</v>
      </c>
      <c r="AI24" s="40" t="s">
        <v>628</v>
      </c>
      <c r="AJ24" s="40" t="s">
        <v>658</v>
      </c>
      <c r="AK24" s="40" t="s">
        <v>673</v>
      </c>
      <c r="AL24" s="40" t="s">
        <v>628</v>
      </c>
      <c r="AM24" s="40" t="s">
        <v>718</v>
      </c>
    </row>
    <row r="25" spans="1:39" ht="199.5" x14ac:dyDescent="0.25">
      <c r="A25" s="40" t="s">
        <v>750</v>
      </c>
      <c r="B25" s="40" t="s">
        <v>24</v>
      </c>
      <c r="C25" s="40" t="s">
        <v>54</v>
      </c>
      <c r="D25" s="40" t="s">
        <v>87</v>
      </c>
      <c r="E25" s="40" t="s">
        <v>107</v>
      </c>
      <c r="F25" s="40" t="s">
        <v>110</v>
      </c>
      <c r="G25" s="40" t="s">
        <v>116</v>
      </c>
      <c r="H25" s="40" t="s">
        <v>134</v>
      </c>
      <c r="I25" s="40" t="s">
        <v>157</v>
      </c>
      <c r="J25" s="40" t="s">
        <v>183</v>
      </c>
      <c r="K25" s="40" t="s">
        <v>205</v>
      </c>
      <c r="L25" s="40" t="s">
        <v>230</v>
      </c>
      <c r="M25" s="40" t="s">
        <v>252</v>
      </c>
      <c r="N25" s="40" t="s">
        <v>265</v>
      </c>
      <c r="O25" s="40" t="s">
        <v>809</v>
      </c>
      <c r="P25" s="40" t="s">
        <v>286</v>
      </c>
      <c r="Q25" s="40" t="s">
        <v>303</v>
      </c>
      <c r="R25" s="40" t="s">
        <v>326</v>
      </c>
      <c r="S25" s="40" t="s">
        <v>345</v>
      </c>
      <c r="T25" s="40" t="s">
        <v>355</v>
      </c>
      <c r="U25" s="40" t="s">
        <v>363</v>
      </c>
      <c r="V25" s="40" t="s">
        <v>377</v>
      </c>
      <c r="W25" s="40" t="s">
        <v>423</v>
      </c>
      <c r="X25" s="40" t="s">
        <v>433</v>
      </c>
      <c r="Y25" s="40">
        <v>88945</v>
      </c>
      <c r="Z25" s="40">
        <v>52150.999999999549</v>
      </c>
      <c r="AA25" s="40">
        <v>36793.999999999993</v>
      </c>
      <c r="AB25" s="40">
        <v>8000</v>
      </c>
      <c r="AC25" s="40">
        <v>4000</v>
      </c>
      <c r="AD25" s="40">
        <v>4000</v>
      </c>
      <c r="AE25" s="40" t="s">
        <v>809</v>
      </c>
      <c r="AF25" s="40" t="s">
        <v>552</v>
      </c>
      <c r="AG25" s="40" t="s">
        <v>579</v>
      </c>
      <c r="AH25" s="40" t="s">
        <v>614</v>
      </c>
      <c r="AI25" s="40" t="s">
        <v>635</v>
      </c>
      <c r="AJ25" s="40" t="s">
        <v>659</v>
      </c>
      <c r="AK25" s="40" t="s">
        <v>809</v>
      </c>
      <c r="AL25" s="40" t="s">
        <v>628</v>
      </c>
      <c r="AM25" s="40" t="s">
        <v>628</v>
      </c>
    </row>
    <row r="26" spans="1:39" ht="128.25" x14ac:dyDescent="0.25">
      <c r="A26" s="40" t="s">
        <v>753</v>
      </c>
      <c r="B26" s="40" t="s">
        <v>27</v>
      </c>
      <c r="C26" s="40" t="s">
        <v>40</v>
      </c>
      <c r="D26" s="40" t="s">
        <v>90</v>
      </c>
      <c r="E26" s="40" t="s">
        <v>103</v>
      </c>
      <c r="F26" s="40" t="s">
        <v>110</v>
      </c>
      <c r="G26" s="40">
        <v>2022</v>
      </c>
      <c r="H26" s="40" t="s">
        <v>136</v>
      </c>
      <c r="I26" s="40" t="s">
        <v>809</v>
      </c>
      <c r="J26" s="40" t="s">
        <v>186</v>
      </c>
      <c r="K26" s="40" t="s">
        <v>208</v>
      </c>
      <c r="L26" s="40" t="s">
        <v>232</v>
      </c>
      <c r="M26" s="40" t="s">
        <v>255</v>
      </c>
      <c r="N26" s="40" t="s">
        <v>262</v>
      </c>
      <c r="O26" s="40" t="s">
        <v>809</v>
      </c>
      <c r="P26" s="40" t="s">
        <v>809</v>
      </c>
      <c r="Q26" s="40" t="s">
        <v>303</v>
      </c>
      <c r="R26" s="40" t="s">
        <v>313</v>
      </c>
      <c r="S26" s="40" t="s">
        <v>334</v>
      </c>
      <c r="T26" s="40" t="s">
        <v>354</v>
      </c>
      <c r="U26" s="40" t="s">
        <v>367</v>
      </c>
      <c r="V26" s="40" t="s">
        <v>397</v>
      </c>
      <c r="W26" s="40" t="s">
        <v>426</v>
      </c>
      <c r="X26" s="40" t="s">
        <v>443</v>
      </c>
      <c r="Y26" s="40">
        <v>4694</v>
      </c>
      <c r="Z26" s="40">
        <v>2029</v>
      </c>
      <c r="AA26" s="40">
        <v>2658</v>
      </c>
      <c r="AB26" s="40">
        <v>2774</v>
      </c>
      <c r="AC26" s="40">
        <v>1340</v>
      </c>
      <c r="AD26" s="40">
        <v>1434</v>
      </c>
      <c r="AE26" s="44">
        <v>0.9214</v>
      </c>
      <c r="AF26" s="44">
        <v>0.93530000000000002</v>
      </c>
      <c r="AG26" s="40" t="s">
        <v>582</v>
      </c>
      <c r="AH26" s="40" t="s">
        <v>617</v>
      </c>
      <c r="AI26" s="40" t="s">
        <v>628</v>
      </c>
      <c r="AJ26" s="40" t="s">
        <v>662</v>
      </c>
      <c r="AK26" s="40" t="s">
        <v>687</v>
      </c>
      <c r="AL26" s="40" t="s">
        <v>628</v>
      </c>
      <c r="AM26" s="40" t="s">
        <v>673</v>
      </c>
    </row>
    <row r="27" spans="1:39" ht="242.25" x14ac:dyDescent="0.25">
      <c r="A27" s="40" t="s">
        <v>751</v>
      </c>
      <c r="B27" s="40" t="s">
        <v>25</v>
      </c>
      <c r="C27" s="40" t="s">
        <v>40</v>
      </c>
      <c r="D27" s="40" t="s">
        <v>88</v>
      </c>
      <c r="E27" s="40" t="s">
        <v>103</v>
      </c>
      <c r="F27" s="40" t="s">
        <v>110</v>
      </c>
      <c r="G27" s="40">
        <v>2022</v>
      </c>
      <c r="H27" s="40" t="s">
        <v>135</v>
      </c>
      <c r="I27" s="40">
        <v>2017</v>
      </c>
      <c r="J27" s="40" t="s">
        <v>184</v>
      </c>
      <c r="K27" s="40" t="s">
        <v>206</v>
      </c>
      <c r="L27" s="40" t="s">
        <v>231</v>
      </c>
      <c r="M27" s="40" t="s">
        <v>253</v>
      </c>
      <c r="N27" s="40" t="s">
        <v>262</v>
      </c>
      <c r="O27" s="40" t="s">
        <v>809</v>
      </c>
      <c r="P27" s="40" t="s">
        <v>287</v>
      </c>
      <c r="Q27" s="40" t="s">
        <v>303</v>
      </c>
      <c r="R27" s="40" t="s">
        <v>313</v>
      </c>
      <c r="S27" s="40" t="s">
        <v>334</v>
      </c>
      <c r="T27" s="40" t="s">
        <v>353</v>
      </c>
      <c r="U27" s="40" t="s">
        <v>363</v>
      </c>
      <c r="V27" s="40" t="s">
        <v>395</v>
      </c>
      <c r="W27" s="40" t="s">
        <v>424</v>
      </c>
      <c r="X27" s="40" t="s">
        <v>442</v>
      </c>
      <c r="Y27" s="40" t="s">
        <v>461</v>
      </c>
      <c r="Z27" s="40" t="s">
        <v>477</v>
      </c>
      <c r="AA27" s="40" t="s">
        <v>489</v>
      </c>
      <c r="AB27" s="40" t="s">
        <v>504</v>
      </c>
      <c r="AC27" s="40" t="s">
        <v>522</v>
      </c>
      <c r="AD27" s="40" t="s">
        <v>538</v>
      </c>
      <c r="AE27" s="40" t="s">
        <v>546</v>
      </c>
      <c r="AF27" s="40" t="s">
        <v>809</v>
      </c>
      <c r="AG27" s="40" t="s">
        <v>580</v>
      </c>
      <c r="AH27" s="40" t="s">
        <v>615</v>
      </c>
      <c r="AI27" s="40" t="s">
        <v>628</v>
      </c>
      <c r="AJ27" s="40" t="s">
        <v>660</v>
      </c>
      <c r="AK27" s="40" t="s">
        <v>687</v>
      </c>
      <c r="AL27" s="40" t="s">
        <v>628</v>
      </c>
      <c r="AM27" s="40" t="s">
        <v>673</v>
      </c>
    </row>
    <row r="28" spans="1:39" ht="199.5" x14ac:dyDescent="0.25">
      <c r="A28" s="40" t="s">
        <v>752</v>
      </c>
      <c r="B28" s="40" t="s">
        <v>26</v>
      </c>
      <c r="C28" s="40" t="s">
        <v>40</v>
      </c>
      <c r="D28" s="40" t="s">
        <v>89</v>
      </c>
      <c r="E28" s="40" t="s">
        <v>103</v>
      </c>
      <c r="F28" s="40" t="s">
        <v>110</v>
      </c>
      <c r="G28" s="40">
        <v>2022</v>
      </c>
      <c r="H28" s="40" t="s">
        <v>809</v>
      </c>
      <c r="I28" s="40" t="s">
        <v>809</v>
      </c>
      <c r="J28" s="40" t="s">
        <v>185</v>
      </c>
      <c r="K28" s="40" t="s">
        <v>207</v>
      </c>
      <c r="L28" s="40" t="s">
        <v>155</v>
      </c>
      <c r="M28" s="40" t="s">
        <v>254</v>
      </c>
      <c r="N28" s="40" t="s">
        <v>262</v>
      </c>
      <c r="O28" s="40" t="s">
        <v>809</v>
      </c>
      <c r="P28" s="40" t="s">
        <v>809</v>
      </c>
      <c r="Q28" s="40" t="s">
        <v>303</v>
      </c>
      <c r="R28" s="40" t="s">
        <v>313</v>
      </c>
      <c r="S28" s="40" t="s">
        <v>346</v>
      </c>
      <c r="T28" s="40" t="s">
        <v>357</v>
      </c>
      <c r="U28" s="40" t="s">
        <v>363</v>
      </c>
      <c r="V28" s="40" t="s">
        <v>396</v>
      </c>
      <c r="W28" s="40" t="s">
        <v>425</v>
      </c>
      <c r="X28" s="40" t="s">
        <v>809</v>
      </c>
      <c r="Y28" s="40">
        <v>2039</v>
      </c>
      <c r="Z28" s="40" t="s">
        <v>809</v>
      </c>
      <c r="AA28" s="40" t="s">
        <v>809</v>
      </c>
      <c r="AB28" s="40">
        <v>964</v>
      </c>
      <c r="AC28" s="40" t="s">
        <v>523</v>
      </c>
      <c r="AD28" s="40">
        <v>759</v>
      </c>
      <c r="AE28" s="44" t="s">
        <v>809</v>
      </c>
      <c r="AF28" s="44">
        <v>0.877</v>
      </c>
      <c r="AG28" s="40" t="s">
        <v>581</v>
      </c>
      <c r="AH28" s="40" t="s">
        <v>616</v>
      </c>
      <c r="AI28" s="40" t="s">
        <v>809</v>
      </c>
      <c r="AJ28" s="40" t="s">
        <v>661</v>
      </c>
      <c r="AK28" s="40" t="s">
        <v>809</v>
      </c>
      <c r="AL28" s="40" t="s">
        <v>628</v>
      </c>
      <c r="AM28" s="40" t="s">
        <v>809</v>
      </c>
    </row>
    <row r="29" spans="1:39" ht="114" x14ac:dyDescent="0.25">
      <c r="A29" s="40" t="s">
        <v>754</v>
      </c>
      <c r="B29" s="40" t="s">
        <v>28</v>
      </c>
      <c r="C29" s="40" t="s">
        <v>55</v>
      </c>
      <c r="D29" s="40" t="s">
        <v>91</v>
      </c>
      <c r="E29" s="40" t="s">
        <v>103</v>
      </c>
      <c r="F29" s="40" t="s">
        <v>110</v>
      </c>
      <c r="G29" s="40">
        <v>2022</v>
      </c>
      <c r="H29" s="40" t="s">
        <v>137</v>
      </c>
      <c r="I29" s="40">
        <v>1997</v>
      </c>
      <c r="J29" s="40" t="s">
        <v>187</v>
      </c>
      <c r="K29" s="40" t="s">
        <v>809</v>
      </c>
      <c r="L29" s="40" t="s">
        <v>149</v>
      </c>
      <c r="M29" s="40" t="s">
        <v>809</v>
      </c>
      <c r="N29" s="40" t="s">
        <v>809</v>
      </c>
      <c r="O29" s="40" t="s">
        <v>809</v>
      </c>
      <c r="P29" s="40" t="s">
        <v>288</v>
      </c>
      <c r="Q29" s="40" t="s">
        <v>306</v>
      </c>
      <c r="R29" s="40" t="s">
        <v>313</v>
      </c>
      <c r="S29" s="40" t="s">
        <v>347</v>
      </c>
      <c r="T29" s="40" t="s">
        <v>357</v>
      </c>
      <c r="U29" s="40" t="s">
        <v>850</v>
      </c>
      <c r="V29" s="40" t="s">
        <v>398</v>
      </c>
      <c r="W29" s="40" t="s">
        <v>856</v>
      </c>
      <c r="X29" s="40" t="s">
        <v>809</v>
      </c>
      <c r="Y29" s="40" t="s">
        <v>809</v>
      </c>
      <c r="Z29" s="40" t="s">
        <v>809</v>
      </c>
      <c r="AA29" s="40" t="s">
        <v>809</v>
      </c>
      <c r="AB29" s="40" t="s">
        <v>505</v>
      </c>
      <c r="AC29" s="40" t="s">
        <v>524</v>
      </c>
      <c r="AD29" s="40" t="s">
        <v>539</v>
      </c>
      <c r="AE29" s="44">
        <v>0.79</v>
      </c>
      <c r="AF29" s="44">
        <v>0.85</v>
      </c>
      <c r="AG29" s="40" t="s">
        <v>583</v>
      </c>
      <c r="AH29" s="40" t="s">
        <v>618</v>
      </c>
      <c r="AI29" s="40" t="s">
        <v>628</v>
      </c>
      <c r="AJ29" s="40" t="s">
        <v>663</v>
      </c>
      <c r="AK29" s="40" t="s">
        <v>688</v>
      </c>
      <c r="AL29" s="40" t="s">
        <v>699</v>
      </c>
      <c r="AM29" s="40" t="s">
        <v>719</v>
      </c>
    </row>
    <row r="30" spans="1:39" ht="171" x14ac:dyDescent="0.25">
      <c r="A30" s="40" t="s">
        <v>755</v>
      </c>
      <c r="B30" s="40" t="s">
        <v>29</v>
      </c>
      <c r="C30" s="40" t="s">
        <v>56</v>
      </c>
      <c r="D30" s="40" t="s">
        <v>92</v>
      </c>
      <c r="E30" s="40" t="s">
        <v>103</v>
      </c>
      <c r="F30" s="40" t="s">
        <v>110</v>
      </c>
      <c r="G30" s="40">
        <v>2022</v>
      </c>
      <c r="H30" s="40" t="s">
        <v>138</v>
      </c>
      <c r="I30" s="40" t="s">
        <v>158</v>
      </c>
      <c r="J30" s="40" t="s">
        <v>188</v>
      </c>
      <c r="K30" s="40" t="s">
        <v>209</v>
      </c>
      <c r="L30" s="40" t="s">
        <v>233</v>
      </c>
      <c r="M30" s="40" t="s">
        <v>846</v>
      </c>
      <c r="N30" s="40" t="s">
        <v>262</v>
      </c>
      <c r="O30" s="40" t="s">
        <v>809</v>
      </c>
      <c r="P30" s="40" t="s">
        <v>289</v>
      </c>
      <c r="Q30" s="40" t="s">
        <v>296</v>
      </c>
      <c r="R30" s="40" t="s">
        <v>327</v>
      </c>
      <c r="S30" s="40" t="s">
        <v>334</v>
      </c>
      <c r="T30" s="40" t="s">
        <v>357</v>
      </c>
      <c r="U30" s="40" t="s">
        <v>372</v>
      </c>
      <c r="V30" s="40" t="s">
        <v>399</v>
      </c>
      <c r="W30" s="40" t="s">
        <v>856</v>
      </c>
      <c r="X30" s="40" t="s">
        <v>444</v>
      </c>
      <c r="Y30" s="40" t="s">
        <v>809</v>
      </c>
      <c r="Z30" s="40" t="s">
        <v>809</v>
      </c>
      <c r="AA30" s="40" t="s">
        <v>809</v>
      </c>
      <c r="AB30" s="40" t="s">
        <v>809</v>
      </c>
      <c r="AC30" s="40" t="s">
        <v>809</v>
      </c>
      <c r="AD30" s="40" t="s">
        <v>809</v>
      </c>
      <c r="AE30" s="44">
        <v>0.60599999999999998</v>
      </c>
      <c r="AF30" s="44">
        <v>0.72899999999999998</v>
      </c>
      <c r="AG30" s="40" t="s">
        <v>584</v>
      </c>
      <c r="AH30" s="40" t="s">
        <v>619</v>
      </c>
      <c r="AI30" s="40" t="s">
        <v>628</v>
      </c>
      <c r="AJ30" s="40" t="s">
        <v>664</v>
      </c>
      <c r="AK30" s="40" t="s">
        <v>689</v>
      </c>
      <c r="AL30" s="40" t="s">
        <v>628</v>
      </c>
      <c r="AM30" s="40" t="s">
        <v>720</v>
      </c>
    </row>
    <row r="31" spans="1:39" ht="171" x14ac:dyDescent="0.25">
      <c r="A31" s="40" t="s">
        <v>756</v>
      </c>
      <c r="B31" s="40" t="s">
        <v>30</v>
      </c>
      <c r="C31" s="40" t="s">
        <v>57</v>
      </c>
      <c r="D31" s="40" t="s">
        <v>93</v>
      </c>
      <c r="E31" s="40" t="s">
        <v>103</v>
      </c>
      <c r="F31" s="40" t="s">
        <v>110</v>
      </c>
      <c r="G31" s="40">
        <v>2022</v>
      </c>
      <c r="H31" s="40" t="s">
        <v>139</v>
      </c>
      <c r="I31" s="40">
        <v>2000</v>
      </c>
      <c r="J31" s="40" t="s">
        <v>189</v>
      </c>
      <c r="K31" s="40" t="s">
        <v>809</v>
      </c>
      <c r="L31" s="40" t="s">
        <v>234</v>
      </c>
      <c r="M31" s="40" t="s">
        <v>256</v>
      </c>
      <c r="N31" s="40" t="s">
        <v>262</v>
      </c>
      <c r="O31" s="40" t="s">
        <v>809</v>
      </c>
      <c r="P31" s="40" t="s">
        <v>290</v>
      </c>
      <c r="Q31" s="40" t="s">
        <v>296</v>
      </c>
      <c r="R31" s="40" t="s">
        <v>328</v>
      </c>
      <c r="S31" s="40" t="s">
        <v>334</v>
      </c>
      <c r="T31" s="40" t="s">
        <v>353</v>
      </c>
      <c r="U31" s="40" t="s">
        <v>363</v>
      </c>
      <c r="V31" s="40" t="s">
        <v>400</v>
      </c>
      <c r="W31" s="40" t="s">
        <v>427</v>
      </c>
      <c r="X31" s="40" t="s">
        <v>445</v>
      </c>
      <c r="Y31" s="40" t="s">
        <v>462</v>
      </c>
      <c r="Z31" s="40" t="s">
        <v>478</v>
      </c>
      <c r="AA31" s="40" t="s">
        <v>490</v>
      </c>
      <c r="AB31" s="40" t="s">
        <v>506</v>
      </c>
      <c r="AC31" s="40" t="s">
        <v>525</v>
      </c>
      <c r="AD31" s="40" t="s">
        <v>540</v>
      </c>
      <c r="AE31" s="40" t="s">
        <v>547</v>
      </c>
      <c r="AF31" s="40" t="s">
        <v>553</v>
      </c>
      <c r="AG31" s="40" t="s">
        <v>585</v>
      </c>
      <c r="AH31" s="40" t="s">
        <v>620</v>
      </c>
      <c r="AI31" s="40" t="s">
        <v>859</v>
      </c>
      <c r="AJ31" s="40" t="s">
        <v>665</v>
      </c>
      <c r="AK31" s="40" t="s">
        <v>690</v>
      </c>
      <c r="AL31" s="40" t="s">
        <v>628</v>
      </c>
      <c r="AM31" s="40" t="s">
        <v>721</v>
      </c>
    </row>
    <row r="32" spans="1:39" ht="327.75" x14ac:dyDescent="0.25">
      <c r="A32" s="40" t="s">
        <v>757</v>
      </c>
      <c r="B32" s="40" t="s">
        <v>31</v>
      </c>
      <c r="C32" s="40" t="s">
        <v>58</v>
      </c>
      <c r="D32" s="40" t="s">
        <v>94</v>
      </c>
      <c r="E32" s="40" t="s">
        <v>105</v>
      </c>
      <c r="F32" s="40" t="s">
        <v>112</v>
      </c>
      <c r="G32" s="40">
        <v>2022</v>
      </c>
      <c r="H32" s="40" t="s">
        <v>140</v>
      </c>
      <c r="I32" s="40" t="s">
        <v>159</v>
      </c>
      <c r="J32" s="40" t="s">
        <v>190</v>
      </c>
      <c r="K32" s="40" t="s">
        <v>809</v>
      </c>
      <c r="L32" s="40" t="s">
        <v>842</v>
      </c>
      <c r="M32" s="40" t="s">
        <v>845</v>
      </c>
      <c r="N32" s="40">
        <v>2024</v>
      </c>
      <c r="O32" s="40" t="s">
        <v>267</v>
      </c>
      <c r="P32" s="40" t="s">
        <v>809</v>
      </c>
      <c r="Q32" s="40" t="s">
        <v>307</v>
      </c>
      <c r="R32" s="40" t="s">
        <v>329</v>
      </c>
      <c r="S32" s="40" t="s">
        <v>348</v>
      </c>
      <c r="T32" s="40" t="s">
        <v>357</v>
      </c>
      <c r="U32" s="40" t="s">
        <v>363</v>
      </c>
      <c r="V32" s="40" t="s">
        <v>851</v>
      </c>
      <c r="W32" s="40" t="s">
        <v>428</v>
      </c>
      <c r="X32" s="40" t="s">
        <v>809</v>
      </c>
      <c r="Y32" s="40">
        <v>26986</v>
      </c>
      <c r="Z32" s="40">
        <v>11446</v>
      </c>
      <c r="AA32" s="40">
        <v>15520</v>
      </c>
      <c r="AB32" s="40">
        <v>9235</v>
      </c>
      <c r="AC32" s="40">
        <v>5193</v>
      </c>
      <c r="AD32" s="40">
        <v>4042</v>
      </c>
      <c r="AE32" s="44">
        <v>0.88009999999999999</v>
      </c>
      <c r="AF32" s="44">
        <v>0.87339999999999995</v>
      </c>
      <c r="AG32" s="40" t="s">
        <v>586</v>
      </c>
      <c r="AH32" s="40" t="s">
        <v>621</v>
      </c>
      <c r="AI32" s="40" t="s">
        <v>636</v>
      </c>
      <c r="AJ32" s="40" t="s">
        <v>666</v>
      </c>
      <c r="AK32" s="40" t="s">
        <v>809</v>
      </c>
      <c r="AL32" s="40" t="s">
        <v>809</v>
      </c>
      <c r="AM32" s="40" t="s">
        <v>722</v>
      </c>
    </row>
    <row r="33" spans="1:39" ht="142.5" x14ac:dyDescent="0.25">
      <c r="A33" s="40" t="s">
        <v>758</v>
      </c>
      <c r="B33" s="40" t="s">
        <v>32</v>
      </c>
      <c r="C33" s="40" t="s">
        <v>46</v>
      </c>
      <c r="D33" s="40" t="s">
        <v>95</v>
      </c>
      <c r="E33" s="40" t="s">
        <v>103</v>
      </c>
      <c r="F33" s="40" t="s">
        <v>110</v>
      </c>
      <c r="G33" s="40">
        <v>2022</v>
      </c>
      <c r="H33" s="40" t="s">
        <v>141</v>
      </c>
      <c r="I33" s="40" t="s">
        <v>809</v>
      </c>
      <c r="J33" s="40" t="s">
        <v>191</v>
      </c>
      <c r="K33" s="40" t="s">
        <v>809</v>
      </c>
      <c r="L33" s="40" t="s">
        <v>843</v>
      </c>
      <c r="M33" s="40" t="s">
        <v>844</v>
      </c>
      <c r="N33" s="40" t="s">
        <v>262</v>
      </c>
      <c r="O33" s="40" t="s">
        <v>809</v>
      </c>
      <c r="P33" s="40" t="s">
        <v>291</v>
      </c>
      <c r="Q33" s="40" t="s">
        <v>303</v>
      </c>
      <c r="R33" s="40" t="s">
        <v>330</v>
      </c>
      <c r="S33" s="40" t="s">
        <v>334</v>
      </c>
      <c r="T33" s="40" t="s">
        <v>360</v>
      </c>
      <c r="U33" s="40" t="s">
        <v>367</v>
      </c>
      <c r="V33" s="40" t="s">
        <v>401</v>
      </c>
      <c r="W33" s="40" t="s">
        <v>429</v>
      </c>
      <c r="X33" s="40" t="s">
        <v>446</v>
      </c>
      <c r="Y33" s="40" t="s">
        <v>463</v>
      </c>
      <c r="Z33" s="40" t="s">
        <v>479</v>
      </c>
      <c r="AA33" s="40" t="s">
        <v>491</v>
      </c>
      <c r="AB33" s="40" t="s">
        <v>507</v>
      </c>
      <c r="AC33" s="40" t="s">
        <v>526</v>
      </c>
      <c r="AD33" s="40" t="s">
        <v>541</v>
      </c>
      <c r="AE33" s="40" t="s">
        <v>548</v>
      </c>
      <c r="AF33" s="40" t="s">
        <v>554</v>
      </c>
      <c r="AG33" s="40" t="s">
        <v>587</v>
      </c>
      <c r="AH33" s="40" t="s">
        <v>622</v>
      </c>
      <c r="AI33" s="40" t="s">
        <v>859</v>
      </c>
      <c r="AJ33" s="40" t="s">
        <v>667</v>
      </c>
      <c r="AK33" s="40" t="s">
        <v>687</v>
      </c>
      <c r="AL33" s="40" t="s">
        <v>628</v>
      </c>
      <c r="AM33" s="40" t="s">
        <v>723</v>
      </c>
    </row>
    <row r="34" spans="1:39" ht="409.5" x14ac:dyDescent="0.25">
      <c r="A34" s="40" t="s">
        <v>759</v>
      </c>
      <c r="B34" s="40" t="s">
        <v>33</v>
      </c>
      <c r="C34" s="40" t="s">
        <v>59</v>
      </c>
      <c r="D34" s="40" t="s">
        <v>96</v>
      </c>
      <c r="E34" s="40" t="s">
        <v>103</v>
      </c>
      <c r="F34" s="40" t="s">
        <v>110</v>
      </c>
      <c r="G34" s="40">
        <v>2022</v>
      </c>
      <c r="H34" s="40" t="s">
        <v>142</v>
      </c>
      <c r="I34" s="40">
        <v>2013</v>
      </c>
      <c r="J34" s="40" t="s">
        <v>192</v>
      </c>
      <c r="K34" s="40" t="s">
        <v>210</v>
      </c>
      <c r="L34" s="40" t="s">
        <v>235</v>
      </c>
      <c r="M34" s="40" t="s">
        <v>257</v>
      </c>
      <c r="N34" s="40" t="s">
        <v>262</v>
      </c>
      <c r="O34" s="40" t="s">
        <v>809</v>
      </c>
      <c r="P34" s="40" t="s">
        <v>809</v>
      </c>
      <c r="Q34" s="40" t="s">
        <v>308</v>
      </c>
      <c r="R34" s="40" t="s">
        <v>313</v>
      </c>
      <c r="S34" s="40" t="s">
        <v>334</v>
      </c>
      <c r="T34" s="40" t="s">
        <v>357</v>
      </c>
      <c r="U34" s="40" t="s">
        <v>367</v>
      </c>
      <c r="V34" s="40" t="s">
        <v>402</v>
      </c>
      <c r="W34" s="40" t="s">
        <v>430</v>
      </c>
      <c r="X34" s="40" t="s">
        <v>447</v>
      </c>
      <c r="Y34" s="40" t="s">
        <v>809</v>
      </c>
      <c r="Z34" s="40" t="s">
        <v>809</v>
      </c>
      <c r="AA34" s="40" t="s">
        <v>809</v>
      </c>
      <c r="AB34" s="40" t="s">
        <v>508</v>
      </c>
      <c r="AC34" s="40" t="s">
        <v>809</v>
      </c>
      <c r="AD34" s="40" t="s">
        <v>809</v>
      </c>
      <c r="AE34" s="44">
        <v>0.92</v>
      </c>
      <c r="AF34" s="44">
        <v>0.87</v>
      </c>
      <c r="AG34" s="40" t="s">
        <v>588</v>
      </c>
      <c r="AH34" s="40" t="s">
        <v>623</v>
      </c>
      <c r="AI34" s="40" t="s">
        <v>628</v>
      </c>
      <c r="AJ34" s="40" t="s">
        <v>668</v>
      </c>
      <c r="AK34" s="40" t="s">
        <v>691</v>
      </c>
      <c r="AL34" s="40" t="s">
        <v>702</v>
      </c>
      <c r="AM34" s="40" t="s">
        <v>673</v>
      </c>
    </row>
    <row r="35" spans="1:39" ht="399" x14ac:dyDescent="0.25">
      <c r="A35" s="40" t="s">
        <v>762</v>
      </c>
      <c r="B35" s="40" t="s">
        <v>36</v>
      </c>
      <c r="C35" s="40" t="s">
        <v>61</v>
      </c>
      <c r="D35" s="40" t="s">
        <v>99</v>
      </c>
      <c r="E35" s="40" t="s">
        <v>101</v>
      </c>
      <c r="F35" s="40" t="s">
        <v>110</v>
      </c>
      <c r="G35" s="40">
        <v>2021</v>
      </c>
      <c r="H35" s="40" t="s">
        <v>145</v>
      </c>
      <c r="I35" s="40">
        <v>2005</v>
      </c>
      <c r="J35" s="40" t="s">
        <v>195</v>
      </c>
      <c r="K35" s="40" t="s">
        <v>212</v>
      </c>
      <c r="L35" s="41" t="s">
        <v>840</v>
      </c>
      <c r="M35" s="40" t="s">
        <v>809</v>
      </c>
      <c r="N35" s="40" t="s">
        <v>262</v>
      </c>
      <c r="O35" s="40" t="s">
        <v>268</v>
      </c>
      <c r="P35" s="40" t="s">
        <v>809</v>
      </c>
      <c r="Q35" s="40" t="s">
        <v>309</v>
      </c>
      <c r="R35" s="40" t="s">
        <v>332</v>
      </c>
      <c r="S35" s="40" t="s">
        <v>351</v>
      </c>
      <c r="T35" s="40" t="s">
        <v>361</v>
      </c>
      <c r="U35" s="40" t="s">
        <v>374</v>
      </c>
      <c r="V35" s="40" t="s">
        <v>405</v>
      </c>
      <c r="W35" s="40" t="s">
        <v>431</v>
      </c>
      <c r="X35" s="40" t="s">
        <v>449</v>
      </c>
      <c r="Y35" s="40" t="s">
        <v>465</v>
      </c>
      <c r="Z35" s="40">
        <v>18978</v>
      </c>
      <c r="AA35" s="40">
        <v>36007</v>
      </c>
      <c r="AB35" s="40" t="s">
        <v>510</v>
      </c>
      <c r="AC35" s="40">
        <v>509</v>
      </c>
      <c r="AD35" s="40">
        <v>1030</v>
      </c>
      <c r="AE35" s="40" t="s">
        <v>809</v>
      </c>
      <c r="AF35" s="44">
        <v>0.33210000000000001</v>
      </c>
      <c r="AG35" s="40" t="s">
        <v>591</v>
      </c>
      <c r="AH35" s="40" t="s">
        <v>626</v>
      </c>
      <c r="AI35" s="40" t="s">
        <v>637</v>
      </c>
      <c r="AJ35" s="40" t="s">
        <v>809</v>
      </c>
      <c r="AK35" s="40" t="s">
        <v>693</v>
      </c>
      <c r="AL35" s="40" t="s">
        <v>628</v>
      </c>
      <c r="AM35" s="40" t="s">
        <v>673</v>
      </c>
    </row>
    <row r="36" spans="1:39" ht="114" x14ac:dyDescent="0.25">
      <c r="A36" s="40" t="s">
        <v>738</v>
      </c>
      <c r="B36" s="40" t="s">
        <v>12</v>
      </c>
      <c r="C36" s="40" t="s">
        <v>46</v>
      </c>
      <c r="D36" s="40" t="s">
        <v>75</v>
      </c>
      <c r="E36" s="40" t="s">
        <v>103</v>
      </c>
      <c r="F36" s="40" t="s">
        <v>110</v>
      </c>
      <c r="G36" s="40">
        <v>2022</v>
      </c>
      <c r="H36" s="40" t="s">
        <v>125</v>
      </c>
      <c r="I36" s="40" t="s">
        <v>809</v>
      </c>
      <c r="J36" s="40" t="s">
        <v>173</v>
      </c>
      <c r="K36" s="40" t="s">
        <v>200</v>
      </c>
      <c r="L36" s="40" t="s">
        <v>224</v>
      </c>
      <c r="M36" s="40" t="s">
        <v>247</v>
      </c>
      <c r="N36" s="40" t="s">
        <v>262</v>
      </c>
      <c r="O36" s="40" t="s">
        <v>809</v>
      </c>
      <c r="P36" s="40" t="s">
        <v>280</v>
      </c>
      <c r="Q36" s="40" t="s">
        <v>303</v>
      </c>
      <c r="R36" s="40" t="s">
        <v>313</v>
      </c>
      <c r="S36" s="40" t="s">
        <v>334</v>
      </c>
      <c r="T36" s="40" t="s">
        <v>358</v>
      </c>
      <c r="U36" s="40" t="s">
        <v>368</v>
      </c>
      <c r="V36" s="40" t="s">
        <v>386</v>
      </c>
      <c r="W36" s="40" t="s">
        <v>416</v>
      </c>
      <c r="X36" s="40" t="s">
        <v>809</v>
      </c>
      <c r="Y36" s="40" t="s">
        <v>456</v>
      </c>
      <c r="Z36" s="40" t="s">
        <v>472</v>
      </c>
      <c r="AA36" s="40" t="s">
        <v>484</v>
      </c>
      <c r="AB36" s="40" t="s">
        <v>499</v>
      </c>
      <c r="AC36" s="40" t="s">
        <v>517</v>
      </c>
      <c r="AD36" s="40" t="s">
        <v>533</v>
      </c>
      <c r="AE36" s="44">
        <v>0.83799999999999997</v>
      </c>
      <c r="AF36" s="44">
        <v>0.59</v>
      </c>
      <c r="AG36" s="40" t="s">
        <v>568</v>
      </c>
      <c r="AH36" s="40" t="s">
        <v>603</v>
      </c>
      <c r="AI36" s="40" t="s">
        <v>628</v>
      </c>
      <c r="AJ36" s="40" t="s">
        <v>648</v>
      </c>
      <c r="AK36" s="40" t="s">
        <v>681</v>
      </c>
      <c r="AL36" s="40" t="s">
        <v>700</v>
      </c>
      <c r="AM36" s="40" t="s">
        <v>673</v>
      </c>
    </row>
    <row r="37" spans="1:39" ht="356.25" x14ac:dyDescent="0.25">
      <c r="A37" s="40" t="s">
        <v>760</v>
      </c>
      <c r="B37" s="40" t="s">
        <v>34</v>
      </c>
      <c r="C37" s="40" t="s">
        <v>46</v>
      </c>
      <c r="D37" s="40" t="s">
        <v>97</v>
      </c>
      <c r="E37" s="40" t="s">
        <v>103</v>
      </c>
      <c r="F37" s="40" t="s">
        <v>110</v>
      </c>
      <c r="G37" s="40">
        <v>2022</v>
      </c>
      <c r="H37" s="40" t="s">
        <v>143</v>
      </c>
      <c r="I37" s="40">
        <v>2006</v>
      </c>
      <c r="J37" s="40" t="s">
        <v>193</v>
      </c>
      <c r="K37" s="40" t="s">
        <v>211</v>
      </c>
      <c r="L37" s="40" t="s">
        <v>236</v>
      </c>
      <c r="M37" s="40" t="s">
        <v>258</v>
      </c>
      <c r="N37" s="40" t="s">
        <v>262</v>
      </c>
      <c r="O37" s="40" t="s">
        <v>809</v>
      </c>
      <c r="P37" s="40" t="s">
        <v>809</v>
      </c>
      <c r="Q37" s="40" t="s">
        <v>303</v>
      </c>
      <c r="R37" s="40" t="s">
        <v>331</v>
      </c>
      <c r="S37" s="40" t="s">
        <v>349</v>
      </c>
      <c r="T37" s="40" t="s">
        <v>359</v>
      </c>
      <c r="U37" s="40" t="s">
        <v>363</v>
      </c>
      <c r="V37" s="40" t="s">
        <v>403</v>
      </c>
      <c r="W37" s="40" t="s">
        <v>410</v>
      </c>
      <c r="X37" s="40" t="s">
        <v>448</v>
      </c>
      <c r="Y37" s="40">
        <v>16024</v>
      </c>
      <c r="Z37" s="40" t="s">
        <v>809</v>
      </c>
      <c r="AA37" s="40" t="s">
        <v>809</v>
      </c>
      <c r="AB37" s="40" t="s">
        <v>509</v>
      </c>
      <c r="AC37" s="40" t="s">
        <v>527</v>
      </c>
      <c r="AD37" s="40" t="s">
        <v>542</v>
      </c>
      <c r="AE37" s="44">
        <v>0.79100000000000004</v>
      </c>
      <c r="AF37" s="44">
        <v>0.81200000000000006</v>
      </c>
      <c r="AG37" s="40" t="s">
        <v>589</v>
      </c>
      <c r="AH37" s="40" t="s">
        <v>624</v>
      </c>
      <c r="AI37" s="40" t="s">
        <v>628</v>
      </c>
      <c r="AJ37" s="40" t="s">
        <v>669</v>
      </c>
      <c r="AK37" s="40" t="s">
        <v>692</v>
      </c>
      <c r="AL37" s="40" t="s">
        <v>628</v>
      </c>
      <c r="AM37" s="40" t="s">
        <v>724</v>
      </c>
    </row>
    <row r="38" spans="1:39" ht="114" x14ac:dyDescent="0.25">
      <c r="A38" s="40" t="s">
        <v>733</v>
      </c>
      <c r="B38" s="40" t="s">
        <v>7</v>
      </c>
      <c r="C38" s="40" t="s">
        <v>44</v>
      </c>
      <c r="D38" s="40" t="s">
        <v>70</v>
      </c>
      <c r="E38" s="40" t="s">
        <v>103</v>
      </c>
      <c r="F38" s="40" t="s">
        <v>110</v>
      </c>
      <c r="G38" s="40">
        <v>2022</v>
      </c>
      <c r="H38" s="40">
        <v>2023</v>
      </c>
      <c r="I38" s="40">
        <v>1999</v>
      </c>
      <c r="J38" s="40" t="s">
        <v>168</v>
      </c>
      <c r="K38" s="40" t="s">
        <v>809</v>
      </c>
      <c r="L38" s="40" t="s">
        <v>219</v>
      </c>
      <c r="M38" s="40" t="s">
        <v>244</v>
      </c>
      <c r="N38" s="40" t="s">
        <v>262</v>
      </c>
      <c r="O38" s="40" t="s">
        <v>809</v>
      </c>
      <c r="P38" s="40" t="s">
        <v>275</v>
      </c>
      <c r="Q38" s="40" t="s">
        <v>300</v>
      </c>
      <c r="R38" s="40" t="s">
        <v>313</v>
      </c>
      <c r="S38" s="40" t="s">
        <v>338</v>
      </c>
      <c r="T38" s="40" t="s">
        <v>355</v>
      </c>
      <c r="U38" s="40" t="s">
        <v>363</v>
      </c>
      <c r="V38" s="40" t="s">
        <v>852</v>
      </c>
      <c r="W38" s="40" t="s">
        <v>413</v>
      </c>
      <c r="X38" s="40" t="s">
        <v>809</v>
      </c>
      <c r="Y38" s="40" t="s">
        <v>453</v>
      </c>
      <c r="Z38" s="40" t="s">
        <v>469</v>
      </c>
      <c r="AA38" s="40" t="s">
        <v>469</v>
      </c>
      <c r="AB38" s="40" t="s">
        <v>495</v>
      </c>
      <c r="AC38" s="40" t="s">
        <v>513</v>
      </c>
      <c r="AD38" s="40" t="s">
        <v>530</v>
      </c>
      <c r="AE38" s="40" t="s">
        <v>809</v>
      </c>
      <c r="AF38" s="44">
        <v>0.22550000000000001</v>
      </c>
      <c r="AG38" s="40" t="s">
        <v>563</v>
      </c>
      <c r="AH38" s="40" t="s">
        <v>599</v>
      </c>
      <c r="AI38" s="40" t="s">
        <v>631</v>
      </c>
      <c r="AJ38" s="40" t="s">
        <v>644</v>
      </c>
      <c r="AK38" s="40" t="s">
        <v>677</v>
      </c>
      <c r="AL38" s="40" t="s">
        <v>698</v>
      </c>
      <c r="AM38" s="40" t="s">
        <v>628</v>
      </c>
    </row>
    <row r="39" spans="1:39" ht="114" x14ac:dyDescent="0.25">
      <c r="A39" s="40" t="s">
        <v>761</v>
      </c>
      <c r="B39" s="40" t="s">
        <v>35</v>
      </c>
      <c r="C39" s="40" t="s">
        <v>60</v>
      </c>
      <c r="D39" s="40" t="s">
        <v>98</v>
      </c>
      <c r="E39" s="40" t="s">
        <v>103</v>
      </c>
      <c r="F39" s="40" t="s">
        <v>110</v>
      </c>
      <c r="G39" s="40">
        <v>2022</v>
      </c>
      <c r="H39" s="40" t="s">
        <v>144</v>
      </c>
      <c r="I39" s="40" t="s">
        <v>809</v>
      </c>
      <c r="J39" s="40" t="s">
        <v>194</v>
      </c>
      <c r="K39" s="40" t="s">
        <v>809</v>
      </c>
      <c r="L39" s="40" t="s">
        <v>237</v>
      </c>
      <c r="M39" s="40" t="s">
        <v>259</v>
      </c>
      <c r="N39" s="40" t="s">
        <v>262</v>
      </c>
      <c r="O39" s="40" t="s">
        <v>809</v>
      </c>
      <c r="P39" s="40" t="s">
        <v>292</v>
      </c>
      <c r="Q39" s="40" t="s">
        <v>303</v>
      </c>
      <c r="R39" s="40" t="s">
        <v>313</v>
      </c>
      <c r="S39" s="40" t="s">
        <v>350</v>
      </c>
      <c r="T39" s="40" t="s">
        <v>357</v>
      </c>
      <c r="U39" s="40" t="s">
        <v>373</v>
      </c>
      <c r="V39" s="40" t="s">
        <v>404</v>
      </c>
      <c r="W39" s="40" t="s">
        <v>425</v>
      </c>
      <c r="X39" s="40" t="s">
        <v>809</v>
      </c>
      <c r="Y39" s="40" t="s">
        <v>464</v>
      </c>
      <c r="Z39" s="40" t="s">
        <v>809</v>
      </c>
      <c r="AA39" s="40" t="s">
        <v>809</v>
      </c>
      <c r="AB39" s="40">
        <v>11352</v>
      </c>
      <c r="AC39" s="40">
        <v>5557</v>
      </c>
      <c r="AD39" s="40">
        <v>4510</v>
      </c>
      <c r="AE39" s="42">
        <v>0.98470000000000002</v>
      </c>
      <c r="AF39" s="42">
        <v>0.98760000000000003</v>
      </c>
      <c r="AG39" s="40" t="s">
        <v>590</v>
      </c>
      <c r="AH39" s="40" t="s">
        <v>625</v>
      </c>
      <c r="AI39" s="40" t="s">
        <v>809</v>
      </c>
      <c r="AJ39" s="40" t="s">
        <v>670</v>
      </c>
      <c r="AK39" s="40" t="s">
        <v>687</v>
      </c>
      <c r="AL39" s="40" t="s">
        <v>628</v>
      </c>
      <c r="AM39" s="40" t="s">
        <v>725</v>
      </c>
    </row>
    <row r="40" spans="1:39" ht="171" x14ac:dyDescent="0.25">
      <c r="A40" s="40" t="s">
        <v>742</v>
      </c>
      <c r="B40" s="40" t="s">
        <v>16</v>
      </c>
      <c r="C40" s="40" t="s">
        <v>49</v>
      </c>
      <c r="D40" s="40" t="s">
        <v>79</v>
      </c>
      <c r="E40" s="40" t="s">
        <v>103</v>
      </c>
      <c r="F40" s="40" t="s">
        <v>110</v>
      </c>
      <c r="G40" s="40">
        <v>2022</v>
      </c>
      <c r="H40" s="40" t="s">
        <v>809</v>
      </c>
      <c r="I40" s="40" t="s">
        <v>809</v>
      </c>
      <c r="J40" s="40" t="s">
        <v>176</v>
      </c>
      <c r="K40" s="40" t="s">
        <v>201</v>
      </c>
      <c r="L40" s="40" t="s">
        <v>226</v>
      </c>
      <c r="M40" s="40" t="s">
        <v>250</v>
      </c>
      <c r="N40" s="40" t="s">
        <v>262</v>
      </c>
      <c r="O40" s="40" t="s">
        <v>809</v>
      </c>
      <c r="P40" s="40" t="s">
        <v>284</v>
      </c>
      <c r="Q40" s="40" t="s">
        <v>303</v>
      </c>
      <c r="R40" s="40" t="s">
        <v>809</v>
      </c>
      <c r="S40" s="40" t="s">
        <v>334</v>
      </c>
      <c r="T40" s="40" t="s">
        <v>355</v>
      </c>
      <c r="U40" s="40" t="s">
        <v>369</v>
      </c>
      <c r="V40" s="40" t="s">
        <v>389</v>
      </c>
      <c r="W40" s="40" t="s">
        <v>418</v>
      </c>
      <c r="X40" s="40" t="s">
        <v>440</v>
      </c>
      <c r="Y40" s="40" t="s">
        <v>809</v>
      </c>
      <c r="Z40" s="40" t="s">
        <v>809</v>
      </c>
      <c r="AA40" s="40" t="s">
        <v>809</v>
      </c>
      <c r="AB40" s="40" t="s">
        <v>809</v>
      </c>
      <c r="AC40" s="40" t="s">
        <v>809</v>
      </c>
      <c r="AD40" s="40" t="s">
        <v>809</v>
      </c>
      <c r="AE40" s="40" t="s">
        <v>809</v>
      </c>
      <c r="AF40" s="40" t="s">
        <v>809</v>
      </c>
      <c r="AG40" s="40" t="s">
        <v>572</v>
      </c>
      <c r="AH40" s="40" t="s">
        <v>607</v>
      </c>
      <c r="AI40" s="40" t="s">
        <v>628</v>
      </c>
      <c r="AJ40" s="40" t="s">
        <v>652</v>
      </c>
      <c r="AK40" s="40" t="s">
        <v>809</v>
      </c>
      <c r="AL40" s="40" t="s">
        <v>628</v>
      </c>
      <c r="AM40" s="40" t="s">
        <v>628</v>
      </c>
    </row>
    <row r="41" spans="1:39" ht="99.75" x14ac:dyDescent="0.25">
      <c r="A41" s="40" t="s">
        <v>860</v>
      </c>
      <c r="B41" s="40" t="s">
        <v>791</v>
      </c>
      <c r="C41" s="40" t="s">
        <v>861</v>
      </c>
      <c r="D41" s="40" t="s">
        <v>862</v>
      </c>
      <c r="E41" s="40" t="s">
        <v>103</v>
      </c>
      <c r="F41" s="40" t="s">
        <v>110</v>
      </c>
      <c r="G41" s="40">
        <v>2022</v>
      </c>
      <c r="H41" s="40" t="s">
        <v>809</v>
      </c>
      <c r="I41" s="40" t="s">
        <v>809</v>
      </c>
      <c r="J41" s="40" t="s">
        <v>809</v>
      </c>
      <c r="K41" s="40" t="s">
        <v>809</v>
      </c>
      <c r="L41" s="40" t="s">
        <v>809</v>
      </c>
      <c r="M41" s="40" t="s">
        <v>809</v>
      </c>
      <c r="N41" s="40" t="s">
        <v>809</v>
      </c>
      <c r="O41" s="40" t="s">
        <v>809</v>
      </c>
      <c r="P41" s="40" t="s">
        <v>863</v>
      </c>
      <c r="Q41" s="40" t="s">
        <v>864</v>
      </c>
      <c r="R41" s="40" t="s">
        <v>865</v>
      </c>
      <c r="S41" s="40" t="s">
        <v>334</v>
      </c>
      <c r="T41" s="40" t="s">
        <v>359</v>
      </c>
      <c r="U41" s="40" t="s">
        <v>866</v>
      </c>
      <c r="V41" s="40" t="s">
        <v>377</v>
      </c>
      <c r="W41" s="40" t="s">
        <v>421</v>
      </c>
      <c r="X41" s="40" t="s">
        <v>867</v>
      </c>
      <c r="Y41" s="40" t="s">
        <v>809</v>
      </c>
      <c r="Z41" s="40" t="s">
        <v>809</v>
      </c>
      <c r="AA41" s="40" t="s">
        <v>809</v>
      </c>
      <c r="AB41" s="40" t="s">
        <v>809</v>
      </c>
      <c r="AC41" s="40" t="s">
        <v>809</v>
      </c>
      <c r="AD41" s="40" t="s">
        <v>809</v>
      </c>
      <c r="AE41" s="40" t="s">
        <v>809</v>
      </c>
      <c r="AF41" s="40" t="s">
        <v>809</v>
      </c>
      <c r="AG41" s="40" t="s">
        <v>868</v>
      </c>
      <c r="AH41" s="40" t="s">
        <v>869</v>
      </c>
      <c r="AI41" s="40" t="s">
        <v>871</v>
      </c>
      <c r="AJ41" s="40" t="s">
        <v>870</v>
      </c>
      <c r="AK41" s="40" t="s">
        <v>872</v>
      </c>
      <c r="AL41" s="40" t="s">
        <v>673</v>
      </c>
      <c r="AM41" s="57" t="s">
        <v>673</v>
      </c>
    </row>
  </sheetData>
  <pageMargins left="0.7" right="0.7" top="0.75" bottom="0.75" header="0.3" footer="0.3"/>
  <headerFooter>
    <oddFooter>&amp;C_x000D_&amp;1#&amp;"Calibri"&amp;10&amp;K0000FF Restricted Use - À usage restreint</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2021 round</vt:lpstr>
      <vt:lpstr>2023 round</vt:lpstr>
      <vt:lpstr>2025 round</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WHANG Choyi, STI/STP</dc:creator>
  <cp:lastModifiedBy>WHANG Choyi, STI/STP</cp:lastModifiedBy>
  <dcterms:created xsi:type="dcterms:W3CDTF">2026-02-12T19:49:16Z</dcterms:created>
  <dcterms:modified xsi:type="dcterms:W3CDTF">2026-04-15T17:34:40Z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2026-02-12T19:53:45Z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52f9b584-21dc-40f6-8cf1-b20d79835e17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